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1.xml" ContentType="application/vnd.openxmlformats-officedocument.spreadsheetml.tab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"/>
    </mc:Choice>
  </mc:AlternateContent>
  <xr:revisionPtr revIDLastSave="0" documentId="13_ncr:1_{BCA6FA63-7CFF-4738-8FEF-14F8B14671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me" sheetId="1" r:id="rId1"/>
    <sheet name="Absolute_Relative_Referencing" sheetId="3" r:id="rId2"/>
    <sheet name="Autosum_Autofill" sheetId="4" r:id="rId3"/>
    <sheet name="Flash_Fill" sheetId="6" r:id="rId4"/>
    <sheet name="Named_Ranges" sheetId="8" r:id="rId5"/>
    <sheet name="Number_Formatting" sheetId="9" r:id="rId6"/>
    <sheet name="Date_Time_Format" sheetId="10" r:id="rId7"/>
    <sheet name="Format_Painter" sheetId="11" r:id="rId8"/>
    <sheet name="Readability_Cell_Styles" sheetId="12" r:id="rId9"/>
    <sheet name="List_Lock_Cells" sheetId="14" r:id="rId10"/>
    <sheet name="The_IF_Function" sheetId="15" r:id="rId11"/>
    <sheet name="Nested_IF" sheetId="16" r:id="rId12"/>
    <sheet name="Error_Functions" sheetId="17" r:id="rId13"/>
    <sheet name="INDEX_and_MATCH" sheetId="18" r:id="rId14"/>
    <sheet name="XLOOKUP_and_XMATCH" sheetId="19" r:id="rId15"/>
    <sheet name="Multiple_Sort" sheetId="20" r:id="rId16"/>
    <sheet name="Custom_List_Sorting" sheetId="21" r:id="rId17"/>
  </sheets>
  <definedNames>
    <definedName name="_xlnm._FilterDatabase" localSheetId="15" hidden="1">Multiple_Sort!$A$3:$I$18</definedName>
    <definedName name="App">INDEX_and_MATCH!$B$6:$B$16</definedName>
    <definedName name="Customer">Named_Ranges!$B$4:$B$17</definedName>
    <definedName name="Dept">List_Lock_Cells!$C$4:$C$30</definedName>
    <definedName name="Employee_Name">List_Lock_Cells!$B$4:$B$30</definedName>
    <definedName name="Order">Named_Ranges!$A$4:$A$17</definedName>
    <definedName name="Price_Per_Unit">Named_Ranges!$D$4:$D$17</definedName>
    <definedName name="Quantity">Named_Ranges!$C$4:$C$17</definedName>
    <definedName name="Revenue">INDEX_and_MATCH!$C$6:$C$16</definedName>
    <definedName name="Salary">List_Lock_Cells!$D$4:$D$30</definedName>
    <definedName name="Total">Named_Ranges!$E$4:$E$17</definedName>
    <definedName name="VAT">Readability_Cell_Styles!$I$3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D6" i="1"/>
  <c r="D7" i="1"/>
  <c r="D8" i="1"/>
  <c r="D9" i="1"/>
  <c r="D10" i="1"/>
  <c r="D15" i="1"/>
  <c r="D16" i="1"/>
  <c r="D18" i="1"/>
  <c r="D19" i="1"/>
  <c r="D22" i="1"/>
  <c r="D27" i="1"/>
  <c r="D28" i="1"/>
  <c r="D32" i="1"/>
  <c r="D33" i="1"/>
  <c r="I13" i="21"/>
  <c r="I12" i="21"/>
  <c r="I9" i="21"/>
  <c r="I8" i="21"/>
  <c r="I18" i="21"/>
  <c r="I7" i="21"/>
  <c r="I17" i="21"/>
  <c r="I11" i="21"/>
  <c r="I6" i="21"/>
  <c r="I16" i="21"/>
  <c r="I10" i="21"/>
  <c r="I5" i="21"/>
  <c r="I15" i="21"/>
  <c r="I14" i="21"/>
  <c r="I4" i="21"/>
  <c r="I16" i="20"/>
  <c r="I8" i="20"/>
  <c r="I6" i="20"/>
  <c r="I12" i="20"/>
  <c r="I11" i="20"/>
  <c r="I5" i="20"/>
  <c r="I7" i="20"/>
  <c r="I4" i="20"/>
  <c r="I13" i="20"/>
  <c r="I10" i="20"/>
  <c r="I14" i="20"/>
  <c r="I9" i="20"/>
  <c r="I18" i="20"/>
  <c r="I17" i="20"/>
  <c r="I15" i="20"/>
  <c r="G8" i="1"/>
  <c r="G7" i="1"/>
  <c r="G4" i="1"/>
  <c r="H9" i="19"/>
  <c r="H7" i="19" a="1"/>
  <c r="H6" i="19"/>
  <c r="H6" i="18"/>
  <c r="H9" i="18"/>
  <c r="H7" i="18"/>
  <c r="H30" i="17" a="1"/>
  <c r="H29" i="17" a="1"/>
  <c r="H28" i="17" a="1"/>
  <c r="H27" i="17" a="1"/>
  <c r="H26" i="17" a="1"/>
  <c r="H25" i="17" a="1"/>
  <c r="H24" i="17" a="1"/>
  <c r="H23" i="17" a="1"/>
  <c r="H22" i="17" a="1"/>
  <c r="H21" i="17" a="1"/>
  <c r="H20" i="17" a="1"/>
  <c r="H19" i="17" a="1"/>
  <c r="H18" i="17" a="1"/>
  <c r="H17" i="17" a="1"/>
  <c r="H16" i="17" a="1"/>
  <c r="H15" i="17" a="1"/>
  <c r="H14" i="17" a="1"/>
  <c r="H13" i="17" a="1"/>
  <c r="H12" i="17" a="1"/>
  <c r="H11" i="17" a="1"/>
  <c r="H10" i="17" a="1"/>
  <c r="H9" i="17" a="1"/>
  <c r="H8" i="17" a="1"/>
  <c r="H7" i="17" a="1"/>
  <c r="H6" i="17" a="1"/>
  <c r="H5" i="17" a="1"/>
  <c r="H4" i="17" a="1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G6" i="14"/>
  <c r="G5" i="14"/>
  <c r="E5" i="12"/>
  <c r="F5" i="12" s="1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E18" i="12"/>
  <c r="E19" i="12"/>
  <c r="E20" i="12"/>
  <c r="E21" i="12"/>
  <c r="E22" i="12"/>
  <c r="F22" i="12" s="1"/>
  <c r="E23" i="12"/>
  <c r="E24" i="12"/>
  <c r="E25" i="12"/>
  <c r="E26" i="12"/>
  <c r="E27" i="12"/>
  <c r="E28" i="12"/>
  <c r="E4" i="12"/>
  <c r="F4" i="12" s="1"/>
  <c r="F28" i="12"/>
  <c r="F27" i="12"/>
  <c r="F26" i="12"/>
  <c r="F25" i="12"/>
  <c r="F24" i="12"/>
  <c r="F23" i="12"/>
  <c r="F21" i="12"/>
  <c r="F20" i="12"/>
  <c r="F19" i="12"/>
  <c r="F18" i="12"/>
  <c r="F17" i="12"/>
  <c r="E17" i="8"/>
  <c r="E16" i="8"/>
  <c r="E15" i="8"/>
  <c r="E14" i="8"/>
  <c r="E13" i="8"/>
  <c r="E12" i="8"/>
  <c r="E11" i="8"/>
  <c r="E10" i="8"/>
  <c r="E9" i="8"/>
  <c r="E8" i="8"/>
  <c r="H7" i="8"/>
  <c r="E7" i="8"/>
  <c r="H6" i="8"/>
  <c r="E6" i="8"/>
  <c r="H5" i="8"/>
  <c r="E5" i="8"/>
  <c r="H4" i="8"/>
  <c r="E4" i="8"/>
  <c r="H3" i="8"/>
  <c r="E20" i="3"/>
  <c r="F20" i="3" s="1"/>
  <c r="E19" i="3"/>
  <c r="F19" i="3" s="1"/>
  <c r="F18" i="3"/>
  <c r="E18" i="3"/>
  <c r="E17" i="3"/>
  <c r="F17" i="3" s="1"/>
  <c r="E16" i="3"/>
  <c r="F16" i="3" s="1"/>
  <c r="E15" i="3"/>
  <c r="F15" i="3" s="1"/>
  <c r="E14" i="3"/>
  <c r="F14" i="3" s="1"/>
  <c r="E13" i="3"/>
  <c r="F13" i="3" s="1"/>
  <c r="F12" i="3"/>
  <c r="E12" i="3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G6" i="1" l="1"/>
  <c r="G34" i="15"/>
  <c r="H34" i="15" s="1"/>
  <c r="G33" i="15"/>
  <c r="H33" i="15" s="1"/>
  <c r="G32" i="15"/>
  <c r="H32" i="15"/>
  <c r="G31" i="15"/>
  <c r="H31" i="15" s="1"/>
  <c r="G30" i="15"/>
  <c r="H30" i="15" s="1"/>
  <c r="G29" i="15"/>
  <c r="H29" i="15"/>
  <c r="G28" i="15"/>
  <c r="H28" i="15" s="1"/>
  <c r="G27" i="15"/>
  <c r="H27" i="15" s="1"/>
  <c r="G26" i="15"/>
  <c r="H26" i="15" s="1"/>
  <c r="G25" i="15"/>
  <c r="H25" i="15" s="1"/>
  <c r="G24" i="15"/>
  <c r="H24" i="15" s="1"/>
  <c r="G23" i="15"/>
  <c r="H23" i="15"/>
  <c r="G22" i="15"/>
  <c r="H22" i="15"/>
  <c r="G21" i="15"/>
  <c r="H21" i="15" s="1"/>
  <c r="G20" i="15"/>
  <c r="H20" i="15" s="1"/>
  <c r="G19" i="15"/>
  <c r="H19" i="15" s="1"/>
  <c r="G18" i="15"/>
  <c r="H18" i="15" s="1"/>
  <c r="G17" i="15"/>
  <c r="H17" i="15" s="1"/>
  <c r="G16" i="15"/>
  <c r="H16" i="15" s="1"/>
  <c r="G15" i="15"/>
  <c r="H15" i="15"/>
  <c r="G14" i="15"/>
  <c r="H14" i="15" s="1"/>
  <c r="G13" i="15"/>
  <c r="H13" i="15" s="1"/>
  <c r="G12" i="15"/>
  <c r="H12" i="15"/>
  <c r="G11" i="15"/>
  <c r="H11" i="15" s="1"/>
  <c r="G10" i="15"/>
  <c r="H10" i="15"/>
  <c r="G9" i="15"/>
  <c r="H9" i="15"/>
  <c r="G8" i="15"/>
  <c r="H8" i="15"/>
  <c r="G7" i="15"/>
  <c r="H7" i="15" s="1"/>
  <c r="G6" i="15"/>
  <c r="H6" i="15"/>
  <c r="G5" i="15"/>
  <c r="H5" i="15"/>
  <c r="G4" i="15"/>
  <c r="H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F32D1-EAB4-44A9-87C8-B63C3FA7798A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<sst xmlns="http://schemas.openxmlformats.org/spreadsheetml/2006/main" count="1085" uniqueCount="481">
  <si>
    <t>REVISION</t>
  </si>
  <si>
    <t>Topics</t>
  </si>
  <si>
    <t>Level</t>
  </si>
  <si>
    <t>Links</t>
  </si>
  <si>
    <t>Autosum and Autofill</t>
  </si>
  <si>
    <t>Beginner</t>
  </si>
  <si>
    <t>Flash Fill</t>
  </si>
  <si>
    <t>Named Ranges</t>
  </si>
  <si>
    <t>Number Formatting</t>
  </si>
  <si>
    <t>Date and Time Formats</t>
  </si>
  <si>
    <t>Format Painter</t>
  </si>
  <si>
    <t>Exercise03</t>
  </si>
  <si>
    <t>Exercise04</t>
  </si>
  <si>
    <t>Exercise05</t>
  </si>
  <si>
    <t>Adding Navigation Button</t>
  </si>
  <si>
    <t>Intermediate</t>
  </si>
  <si>
    <t>Improving Readability with Cell Styles</t>
  </si>
  <si>
    <t>List Lock Cells</t>
  </si>
  <si>
    <t>Logical Functions</t>
  </si>
  <si>
    <t>Nested Ifs</t>
  </si>
  <si>
    <t>The IF Function</t>
  </si>
  <si>
    <t xml:space="preserve">Absolute vs Relative Referencing </t>
  </si>
  <si>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</si>
  <si>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</si>
  <si>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</si>
  <si>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</si>
  <si>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</si>
  <si>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</si>
  <si>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</si>
  <si>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</si>
  <si>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</si>
  <si>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</si>
  <si>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</si>
  <si>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</si>
  <si>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</si>
  <si>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</si>
  <si>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</si>
  <si>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 xml:space="preserve">Marketing </t>
  </si>
  <si>
    <t xml:space="preserve">Whitney Craig </t>
  </si>
  <si>
    <t xml:space="preserve">Training </t>
  </si>
  <si>
    <t>Bushra Timms</t>
  </si>
  <si>
    <t>Dina Pollard</t>
  </si>
  <si>
    <t>Training</t>
  </si>
  <si>
    <t>Kymani Guthrie</t>
  </si>
  <si>
    <t>Marketing</t>
  </si>
  <si>
    <t>Sophia Moss</t>
  </si>
  <si>
    <t>Odin Henderson</t>
  </si>
  <si>
    <t>Rohan Hope</t>
  </si>
  <si>
    <t xml:space="preserve">Bailey Partridge </t>
  </si>
  <si>
    <t xml:space="preserve">Shayaan Gough </t>
  </si>
  <si>
    <t xml:space="preserve">Della Sharma </t>
  </si>
  <si>
    <t>Clay Santos</t>
  </si>
  <si>
    <t>Absolute Relative Referencing</t>
  </si>
  <si>
    <t>Absolute_Relative_Referencing</t>
  </si>
  <si>
    <t>Number</t>
  </si>
  <si>
    <t>Dates</t>
  </si>
  <si>
    <t>Months</t>
  </si>
  <si>
    <t xml:space="preserve">Days </t>
  </si>
  <si>
    <t>Employees</t>
  </si>
  <si>
    <t>January</t>
  </si>
  <si>
    <t>Mon</t>
  </si>
  <si>
    <t>February</t>
  </si>
  <si>
    <t>Tue</t>
  </si>
  <si>
    <t>March</t>
  </si>
  <si>
    <t>Wed</t>
  </si>
  <si>
    <t>April</t>
  </si>
  <si>
    <t>Thu</t>
  </si>
  <si>
    <t>May</t>
  </si>
  <si>
    <t>Fri</t>
  </si>
  <si>
    <t>June</t>
  </si>
  <si>
    <t>Sat</t>
  </si>
  <si>
    <t>July</t>
  </si>
  <si>
    <t>Sun</t>
  </si>
  <si>
    <t>August</t>
  </si>
  <si>
    <t>September</t>
  </si>
  <si>
    <t>October</t>
  </si>
  <si>
    <t>November</t>
  </si>
  <si>
    <t>December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</si>
  <si>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</si>
  <si>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</si>
  <si>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</si>
  <si>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</si>
  <si>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</si>
  <si>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</si>
  <si>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</si>
  <si>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</si>
  <si>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</si>
  <si>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</si>
  <si>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</si>
  <si>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</si>
  <si>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</si>
  <si>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</si>
  <si>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</si>
  <si>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</si>
  <si>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Autosum_Autofill</t>
  </si>
  <si>
    <t>Full Name</t>
  </si>
  <si>
    <t>First Name</t>
  </si>
  <si>
    <t>Last Name</t>
  </si>
  <si>
    <t>Email Address</t>
  </si>
  <si>
    <t>Long Order No.</t>
  </si>
  <si>
    <t>Short Order No.</t>
  </si>
  <si>
    <t>Product Name</t>
  </si>
  <si>
    <t>Color</t>
  </si>
  <si>
    <t xml:space="preserve">Product </t>
  </si>
  <si>
    <t>Item Code</t>
  </si>
  <si>
    <t xml:space="preserve">Deborah </t>
  </si>
  <si>
    <t>Ashby</t>
  </si>
  <si>
    <t>da@companyx.com</t>
  </si>
  <si>
    <t>ORD-123</t>
  </si>
  <si>
    <t>RedShirt-123</t>
  </si>
  <si>
    <t>Red</t>
  </si>
  <si>
    <t>Shirt</t>
  </si>
  <si>
    <t>Adam</t>
  </si>
  <si>
    <t>Lacey</t>
  </si>
  <si>
    <t>al@companyx.com</t>
  </si>
  <si>
    <t>ORD-124</t>
  </si>
  <si>
    <t>Green Trousers-498</t>
  </si>
  <si>
    <t>Green</t>
  </si>
  <si>
    <t>Trousers</t>
  </si>
  <si>
    <t>Ben</t>
  </si>
  <si>
    <t>Lee</t>
  </si>
  <si>
    <t>bl@companyx.com</t>
  </si>
  <si>
    <t>ORD-125</t>
  </si>
  <si>
    <t>YellowTie-289</t>
  </si>
  <si>
    <t>Yellow</t>
  </si>
  <si>
    <t>Tie</t>
  </si>
  <si>
    <t>Sarah</t>
  </si>
  <si>
    <t>Jones</t>
  </si>
  <si>
    <t>sj@companyx.com</t>
  </si>
  <si>
    <t>ORD-126</t>
  </si>
  <si>
    <t>BrownBoots-290</t>
  </si>
  <si>
    <t>Brown</t>
  </si>
  <si>
    <t>Boots</t>
  </si>
  <si>
    <t>Olivia</t>
  </si>
  <si>
    <t>og@companyx.com</t>
  </si>
  <si>
    <t>ORD-127</t>
  </si>
  <si>
    <t>PurpleSocks-120</t>
  </si>
  <si>
    <t>Purple</t>
  </si>
  <si>
    <t>Socks</t>
  </si>
  <si>
    <t>Ming</t>
  </si>
  <si>
    <t>Sia</t>
  </si>
  <si>
    <t>ms@companyx.com</t>
  </si>
  <si>
    <t>ORD-128</t>
  </si>
  <si>
    <t>David</t>
  </si>
  <si>
    <t>Patterson</t>
  </si>
  <si>
    <t>dp@companyx.com</t>
  </si>
  <si>
    <t>ORD-129</t>
  </si>
  <si>
    <t>Chloe</t>
  </si>
  <si>
    <t>Newbury</t>
  </si>
  <si>
    <t>cn@companyx.com</t>
  </si>
  <si>
    <t>ORD-130</t>
  </si>
  <si>
    <t>Mrtin</t>
  </si>
  <si>
    <t>Waters</t>
  </si>
  <si>
    <t>mw@companyx.com</t>
  </si>
  <si>
    <t>ORD-131</t>
  </si>
  <si>
    <t>Julie</t>
  </si>
  <si>
    <t>Tavistock</t>
  </si>
  <si>
    <t>jt@companyx.com</t>
  </si>
  <si>
    <t>ORD-132</t>
  </si>
  <si>
    <t>Kurt</t>
  </si>
  <si>
    <t>Webster</t>
  </si>
  <si>
    <t>kw@companyx.com</t>
  </si>
  <si>
    <t>ORD-133</t>
  </si>
  <si>
    <t>Lucy</t>
  </si>
  <si>
    <t>Matthews</t>
  </si>
  <si>
    <t>lm@companyx.com</t>
  </si>
  <si>
    <t>ORD-134</t>
  </si>
  <si>
    <t>Pedro Costa</t>
  </si>
  <si>
    <t>Pedro</t>
  </si>
  <si>
    <t>Costa</t>
  </si>
  <si>
    <t>pc@companyx.com</t>
  </si>
  <si>
    <t>ORD-135</t>
  </si>
  <si>
    <t>Flash_Fill</t>
  </si>
  <si>
    <t>Named_Ranges</t>
  </si>
  <si>
    <t>Number_Formatting</t>
  </si>
  <si>
    <t>Format_Painter</t>
  </si>
  <si>
    <t>Logical_Functions</t>
  </si>
  <si>
    <t xml:space="preserve">   Art and Craft Sales </t>
  </si>
  <si>
    <t>Order #</t>
  </si>
  <si>
    <t>Customer</t>
  </si>
  <si>
    <t>Quantity</t>
  </si>
  <si>
    <t xml:space="preserve">Price Per Unit </t>
  </si>
  <si>
    <t>Total</t>
  </si>
  <si>
    <t>Average Quantity</t>
  </si>
  <si>
    <t>Staples</t>
  </si>
  <si>
    <t>No. of Orders</t>
  </si>
  <si>
    <t>WH Smith</t>
  </si>
  <si>
    <t>Minimum Sales</t>
  </si>
  <si>
    <t>The Art Supply Store</t>
  </si>
  <si>
    <t>Maximum Sales</t>
  </si>
  <si>
    <t>Brush Strokes</t>
  </si>
  <si>
    <t>Total Sales</t>
  </si>
  <si>
    <t>Crafty Business</t>
  </si>
  <si>
    <t>Pens and Things</t>
  </si>
  <si>
    <t>Color Me Silly</t>
  </si>
  <si>
    <t>Sketch &amp; Co</t>
  </si>
  <si>
    <t>The Desinger Center</t>
  </si>
  <si>
    <t>Waterstones</t>
  </si>
  <si>
    <t>Painterly</t>
  </si>
  <si>
    <t>J Howard and Sons</t>
  </si>
  <si>
    <t xml:space="preserve">Art Attack </t>
  </si>
  <si>
    <t>Doodles</t>
  </si>
  <si>
    <t>Currency</t>
  </si>
  <si>
    <t xml:space="preserve">Accounting </t>
  </si>
  <si>
    <t>Percentage</t>
  </si>
  <si>
    <t>Date_Time_Formats</t>
  </si>
  <si>
    <t>My date formatting is:</t>
  </si>
  <si>
    <t>MM/DD/YEAR</t>
  </si>
  <si>
    <t>Short Date</t>
  </si>
  <si>
    <t>Long  Date</t>
  </si>
  <si>
    <t>Time</t>
  </si>
  <si>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</si>
  <si>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</si>
  <si>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</si>
  <si>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</si>
  <si>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</si>
  <si>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</si>
  <si>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-Circolo Poppolo</t>
  </si>
  <si>
    <t>Client Lunch - Circolo Poppolo</t>
  </si>
  <si>
    <t>software Purchase</t>
  </si>
  <si>
    <t xml:space="preserve">Mouse + Mouse Mat </t>
  </si>
  <si>
    <t>Train far London to Warrington</t>
  </si>
  <si>
    <t>Client Dinner -Dishoom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</si>
  <si>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</si>
  <si>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</si>
  <si>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</si>
  <si>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</si>
  <si>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</si>
  <si>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</si>
  <si>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</si>
  <si>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Software Purchase</t>
  </si>
  <si>
    <t>Navigation_Button</t>
  </si>
  <si>
    <t>Readability_Cell_Styles</t>
  </si>
  <si>
    <t xml:space="preserve">Invoice Number </t>
  </si>
  <si>
    <t>Invoice Date</t>
  </si>
  <si>
    <t xml:space="preserve">Client </t>
  </si>
  <si>
    <t xml:space="preserve">Amount </t>
  </si>
  <si>
    <t>VAT</t>
  </si>
  <si>
    <t>INV-0000</t>
  </si>
  <si>
    <t>Computech</t>
  </si>
  <si>
    <t>INV-0001</t>
  </si>
  <si>
    <t>Fletchers</t>
  </si>
  <si>
    <t>INV-0002</t>
  </si>
  <si>
    <t>INV-0003</t>
  </si>
  <si>
    <t>Audioloop</t>
  </si>
  <si>
    <t>INV-0004</t>
  </si>
  <si>
    <t xml:space="preserve">Computech </t>
  </si>
  <si>
    <t>INV-0005</t>
  </si>
  <si>
    <t>INV-0006</t>
  </si>
  <si>
    <t xml:space="preserve">Audioloop </t>
  </si>
  <si>
    <t>INV-0007</t>
  </si>
  <si>
    <t>Microworld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</si>
  <si>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</si>
  <si>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</si>
  <si>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</si>
  <si>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</si>
  <si>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</si>
  <si>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</si>
  <si>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</si>
  <si>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</si>
  <si>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</si>
  <si>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</si>
  <si>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</si>
  <si>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</si>
  <si>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</si>
  <si>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</si>
  <si>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</si>
  <si>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</si>
  <si>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</si>
  <si>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Input values into these cells</t>
  </si>
  <si>
    <t>Calculation cells</t>
  </si>
  <si>
    <t>List_Lock_Cells</t>
  </si>
  <si>
    <t>The_IF_Function</t>
  </si>
  <si>
    <t>Nested_Ifs</t>
  </si>
  <si>
    <t>Employee Details</t>
  </si>
  <si>
    <t>Employee ID</t>
  </si>
  <si>
    <t xml:space="preserve">Dept </t>
  </si>
  <si>
    <t>HR</t>
  </si>
  <si>
    <t>IT</t>
  </si>
  <si>
    <t>Ada Wang</t>
  </si>
  <si>
    <t>Ashley Grahm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</si>
  <si>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</si>
  <si>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</si>
  <si>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</si>
  <si>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</si>
  <si>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</si>
  <si>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</si>
  <si>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</si>
  <si>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</si>
  <si>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Select Employee</t>
  </si>
  <si>
    <t>Dept</t>
  </si>
  <si>
    <t>Furniture Sales - 2025 and 2026</t>
  </si>
  <si>
    <t>Product</t>
  </si>
  <si>
    <t>Item Cost</t>
  </si>
  <si>
    <t>No.Items</t>
  </si>
  <si>
    <t>Total Cost</t>
  </si>
  <si>
    <t>Shipping</t>
  </si>
  <si>
    <t xml:space="preserve">For orders over: </t>
  </si>
  <si>
    <t>Captain Recliner</t>
  </si>
  <si>
    <t>B&amp;B Spaces</t>
  </si>
  <si>
    <t>Shipping Charge (% of cost)</t>
  </si>
  <si>
    <t>Media Armoire</t>
  </si>
  <si>
    <t>Home USA</t>
  </si>
  <si>
    <t>Bamboo End Table</t>
  </si>
  <si>
    <t>Ellington Designs</t>
  </si>
  <si>
    <t>Bamboo Coffee Table</t>
  </si>
  <si>
    <t>Chameleon Couch</t>
  </si>
  <si>
    <t>Emplyee Name</t>
  </si>
  <si>
    <t xml:space="preserve">Building </t>
  </si>
  <si>
    <t>Hire Date</t>
  </si>
  <si>
    <t>Job Rating</t>
  </si>
  <si>
    <t>Bounus</t>
  </si>
  <si>
    <t xml:space="preserve">Job Rating </t>
  </si>
  <si>
    <t>West</t>
  </si>
  <si>
    <t>Taft</t>
  </si>
  <si>
    <t>Watson</t>
  </si>
  <si>
    <t>North</t>
  </si>
  <si>
    <t>Main</t>
  </si>
  <si>
    <t>South</t>
  </si>
  <si>
    <t>Environmental Corp</t>
  </si>
  <si>
    <t>The Ifs Function</t>
  </si>
  <si>
    <t>The_IFS_Function</t>
  </si>
  <si>
    <t>Conditional IFS (COUNTIF(S), SUMIF(S) and AVERAGEIF(S))</t>
  </si>
  <si>
    <t>COUNT_SUM_AVERAGE_IFS</t>
  </si>
  <si>
    <t>External</t>
  </si>
  <si>
    <t>Error Handling with IFERROR and IFNA</t>
  </si>
  <si>
    <t>IFNA and IFERROR</t>
  </si>
  <si>
    <t>Error_Functions</t>
  </si>
  <si>
    <t>Intermediate Exercise 01</t>
  </si>
  <si>
    <t>Intermediate_Exercise01</t>
  </si>
  <si>
    <t>VLOOKUP Exact Match</t>
  </si>
  <si>
    <t>VLOOKUP_Exact_Match</t>
  </si>
  <si>
    <t>VLOOKUP Approx Match</t>
  </si>
  <si>
    <t>VLOOKUP_Approx_Match</t>
  </si>
  <si>
    <t xml:space="preserve">HLOOKUP </t>
  </si>
  <si>
    <t>HLOOKUP</t>
  </si>
  <si>
    <t>INDEX and MATCH</t>
  </si>
  <si>
    <t>INDEX_and_MATCH</t>
  </si>
  <si>
    <t>INDEX and MATCH - Perfect for Complex Lookups</t>
  </si>
  <si>
    <t>Basic Example</t>
  </si>
  <si>
    <t>Category</t>
  </si>
  <si>
    <t>App</t>
  </si>
  <si>
    <t>Revenue</t>
  </si>
  <si>
    <t>Profit</t>
  </si>
  <si>
    <t xml:space="preserve">Select App: </t>
  </si>
  <si>
    <t>Twitter</t>
  </si>
  <si>
    <t>Game</t>
  </si>
  <si>
    <t>Temple Run</t>
  </si>
  <si>
    <t>Candy Crush</t>
  </si>
  <si>
    <t>Doom</t>
  </si>
  <si>
    <t>Bejewelled</t>
  </si>
  <si>
    <t>Productivity</t>
  </si>
  <si>
    <t>Office Lens</t>
  </si>
  <si>
    <t>Google Docs</t>
  </si>
  <si>
    <t>OneDrive</t>
  </si>
  <si>
    <t>Social Media</t>
  </si>
  <si>
    <t>Instagram</t>
  </si>
  <si>
    <t>Facebook</t>
  </si>
  <si>
    <t>TikTok</t>
  </si>
  <si>
    <t>XLOOKUP and XMATCH</t>
  </si>
  <si>
    <t>XLOOKUP_and_XMATCH</t>
  </si>
  <si>
    <t>The NEW!  XLOOKUP and XMATCH Function</t>
  </si>
  <si>
    <t>Utility</t>
  </si>
  <si>
    <t>OFFSET Function</t>
  </si>
  <si>
    <t>OFFSET</t>
  </si>
  <si>
    <t>INDIRECT Function</t>
  </si>
  <si>
    <t>INDIRECT</t>
  </si>
  <si>
    <t>Topics Learned</t>
  </si>
  <si>
    <t>External Workbooks</t>
  </si>
  <si>
    <t>Internal Worksheets</t>
  </si>
  <si>
    <t>Data</t>
  </si>
  <si>
    <t>Intermediate Exercise 02</t>
  </si>
  <si>
    <t>Intermediate_Exercise02</t>
  </si>
  <si>
    <t>Sorting on Multiple Columns</t>
  </si>
  <si>
    <t>Multiple Column Sorting</t>
  </si>
  <si>
    <t>Multiple_Sort</t>
  </si>
  <si>
    <t>Title</t>
  </si>
  <si>
    <t>House #</t>
  </si>
  <si>
    <t>Street Address</t>
  </si>
  <si>
    <t>Town</t>
  </si>
  <si>
    <t xml:space="preserve">City </t>
  </si>
  <si>
    <t>Phone #</t>
  </si>
  <si>
    <t>Email</t>
  </si>
  <si>
    <t>Miss</t>
  </si>
  <si>
    <t>Mr</t>
  </si>
  <si>
    <t>Mrs</t>
  </si>
  <si>
    <t>Deborah</t>
  </si>
  <si>
    <t>Rav</t>
  </si>
  <si>
    <t>Michael</t>
  </si>
  <si>
    <t>Jennifer</t>
  </si>
  <si>
    <t>Anna</t>
  </si>
  <si>
    <t>Claire</t>
  </si>
  <si>
    <t>James</t>
  </si>
  <si>
    <t>Maria</t>
  </si>
  <si>
    <t>Heather</t>
  </si>
  <si>
    <t>Yasmin</t>
  </si>
  <si>
    <t>Susie</t>
  </si>
  <si>
    <t>Bhopal</t>
  </si>
  <si>
    <t>Chambers</t>
  </si>
  <si>
    <t>Chapel</t>
  </si>
  <si>
    <t>Dwyer</t>
  </si>
  <si>
    <t>Flowers</t>
  </si>
  <si>
    <t>Hernandez</t>
  </si>
  <si>
    <t>Huxtable</t>
  </si>
  <si>
    <t>Maxwell</t>
  </si>
  <si>
    <t>Mulligan</t>
  </si>
  <si>
    <t>Sanchez</t>
  </si>
  <si>
    <t>Saunders</t>
  </si>
  <si>
    <t>Shah</t>
  </si>
  <si>
    <t>Smith</t>
  </si>
  <si>
    <t>Oak Avenue</t>
  </si>
  <si>
    <t>Surrey Street</t>
  </si>
  <si>
    <t>Neils Walk</t>
  </si>
  <si>
    <t>Cherry Street</t>
  </si>
  <si>
    <t>Adelaide Street</t>
  </si>
  <si>
    <t>Willow Way</t>
  </si>
  <si>
    <t>Verdayne Avenue</t>
  </si>
  <si>
    <t>Baker Street</t>
  </si>
  <si>
    <t>Bishopsgate</t>
  </si>
  <si>
    <t>Tooley Street</t>
  </si>
  <si>
    <t>Missions Place</t>
  </si>
  <si>
    <t>Vine Street</t>
  </si>
  <si>
    <t>Alexandra Avenue</t>
  </si>
  <si>
    <t>Finchley Road</t>
  </si>
  <si>
    <t>Kings Walk</t>
  </si>
  <si>
    <t>Notting Hill</t>
  </si>
  <si>
    <t>Oxford</t>
  </si>
  <si>
    <t>Brighton</t>
  </si>
  <si>
    <t>Croydon</t>
  </si>
  <si>
    <t>Kensington</t>
  </si>
  <si>
    <t>Weybridge</t>
  </si>
  <si>
    <t>Canterbury</t>
  </si>
  <si>
    <t>Bath</t>
  </si>
  <si>
    <t>Mayfair</t>
  </si>
  <si>
    <t>Ely</t>
  </si>
  <si>
    <t>St Albans</t>
  </si>
  <si>
    <t>Bromley</t>
  </si>
  <si>
    <t>Luton</t>
  </si>
  <si>
    <t>Bristol</t>
  </si>
  <si>
    <t>Guildford</t>
  </si>
  <si>
    <t>London</t>
  </si>
  <si>
    <t>Oxfordshire</t>
  </si>
  <si>
    <t>East Sussex</t>
  </si>
  <si>
    <t>Surrey</t>
  </si>
  <si>
    <t>Kent</t>
  </si>
  <si>
    <t>Somerest</t>
  </si>
  <si>
    <t>Cambridgeshire</t>
  </si>
  <si>
    <t>Hertfordshire</t>
  </si>
  <si>
    <t>Bedfordshire</t>
  </si>
  <si>
    <t>02876 186487</t>
  </si>
  <si>
    <t>06389 761222</t>
  </si>
  <si>
    <t>02857 579010</t>
  </si>
  <si>
    <t>07947 487348</t>
  </si>
  <si>
    <t>04987 958273</t>
  </si>
  <si>
    <t>04847 958273</t>
  </si>
  <si>
    <t>04457 958273</t>
  </si>
  <si>
    <t>04327 958273</t>
  </si>
  <si>
    <t>041007 958273</t>
  </si>
  <si>
    <t>04647 958273</t>
  </si>
  <si>
    <t>041037 958273</t>
  </si>
  <si>
    <t>04567 958273</t>
  </si>
  <si>
    <t>04827 958273</t>
  </si>
  <si>
    <t>04657 958273</t>
  </si>
  <si>
    <t>04367 958273</t>
  </si>
  <si>
    <t>Sorting Using Custom List</t>
  </si>
  <si>
    <t>Custom_List_Sorting</t>
  </si>
  <si>
    <t>Sorting Using a Custom List</t>
  </si>
  <si>
    <t>SORT and SORTBY Functions</t>
  </si>
  <si>
    <t>SORT_SORTBY_Functions</t>
  </si>
  <si>
    <t>Filter with Criteria</t>
  </si>
  <si>
    <t>Filter_Advanced</t>
  </si>
  <si>
    <t>VSTACK Function</t>
  </si>
  <si>
    <t>VSTACK_Function</t>
  </si>
  <si>
    <t>Cleaning Messy Data</t>
  </si>
  <si>
    <t>Cleaning_Messy_Data</t>
  </si>
  <si>
    <t>Office Work Simulation</t>
  </si>
  <si>
    <t>Work_Simulation</t>
  </si>
  <si>
    <t>Internal</t>
  </si>
  <si>
    <t>Files</t>
  </si>
  <si>
    <t xml:space="preserve">Errors in Excel </t>
  </si>
  <si>
    <t>Error_Handling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</si>
</sst>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[$-409]d\-mmm\-yyyy;@"/>
    <numFmt numFmtId="168" formatCode="[$-409]h:mm:ss\ AM/P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8B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theme="4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/>
      <top/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8" fillId="6" borderId="5" applyNumberFormat="0" applyAlignment="0" applyProtection="0"/>
    <xf numFmtId="0" fontId="9" fillId="7" borderId="5" applyNumberFormat="0" applyAlignment="0" applyProtection="0"/>
  </cellStyleXfs>
  <cellXfs count="102">
    <xf numFmtId="0" fontId="0" fillId="0" borderId="0" xfId="0"/>
    <xf numFmtId="0" fontId="4" fillId="0" borderId="0" xfId="0" applyFont="1"/>
    <xf numFmtId="0" fontId="0" fillId="0" borderId="2" xfId="0" applyBorder="1"/>
    <xf numFmtId="0" fontId="4" fillId="2" borderId="3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/>
    <xf numFmtId="0" fontId="0" fillId="0" borderId="3" xfId="0" applyBorder="1"/>
    <xf numFmtId="44" fontId="0" fillId="0" borderId="3" xfId="1" applyFont="1" applyBorder="1"/>
    <xf numFmtId="44" fontId="0" fillId="0" borderId="3" xfId="0" applyNumberFormat="1" applyBorder="1"/>
    <xf numFmtId="9" fontId="0" fillId="0" borderId="0" xfId="0" applyNumberFormat="1"/>
    <xf numFmtId="0" fontId="7" fillId="0" borderId="2" xfId="3" applyBorder="1"/>
    <xf numFmtId="14" fontId="0" fillId="0" borderId="2" xfId="0" applyNumberFormat="1" applyBorder="1"/>
    <xf numFmtId="0" fontId="0" fillId="0" borderId="4" xfId="0" applyBorder="1"/>
    <xf numFmtId="14" fontId="0" fillId="0" borderId="4" xfId="0" applyNumberFormat="1" applyBorder="1"/>
    <xf numFmtId="0" fontId="6" fillId="4" borderId="0" xfId="0" applyFont="1" applyFill="1" applyAlignment="1">
      <alignment horizontal="left" vertical="center"/>
    </xf>
    <xf numFmtId="0" fontId="4" fillId="5" borderId="3" xfId="0" applyFont="1" applyFill="1" applyBorder="1"/>
    <xf numFmtId="0" fontId="7" fillId="0" borderId="4" xfId="3" applyBorder="1"/>
    <xf numFmtId="0" fontId="4" fillId="5" borderId="6" xfId="0" applyFont="1" applyFill="1" applyBorder="1"/>
    <xf numFmtId="0" fontId="4" fillId="5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3" fillId="8" borderId="15" xfId="0" applyFont="1" applyFill="1" applyBorder="1"/>
    <xf numFmtId="164" fontId="0" fillId="0" borderId="15" xfId="0" applyNumberFormat="1" applyBorder="1"/>
    <xf numFmtId="0" fontId="0" fillId="0" borderId="15" xfId="0" applyBorder="1"/>
    <xf numFmtId="164" fontId="0" fillId="0" borderId="15" xfId="1" applyNumberFormat="1" applyFont="1" applyBorder="1"/>
    <xf numFmtId="44" fontId="0" fillId="0" borderId="15" xfId="1" applyFont="1" applyBorder="1"/>
    <xf numFmtId="1" fontId="0" fillId="0" borderId="15" xfId="0" applyNumberFormat="1" applyBorder="1"/>
    <xf numFmtId="165" fontId="0" fillId="0" borderId="15" xfId="1" applyNumberFormat="1" applyFont="1" applyBorder="1"/>
    <xf numFmtId="0" fontId="4" fillId="5" borderId="16" xfId="0" applyFont="1" applyFill="1" applyBorder="1"/>
    <xf numFmtId="2" fontId="0" fillId="0" borderId="8" xfId="0" applyNumberFormat="1" applyBorder="1"/>
    <xf numFmtId="166" fontId="0" fillId="0" borderId="0" xfId="0" applyNumberFormat="1"/>
    <xf numFmtId="44" fontId="0" fillId="0" borderId="0" xfId="0" applyNumberFormat="1"/>
    <xf numFmtId="9" fontId="0" fillId="0" borderId="9" xfId="0" applyNumberFormat="1" applyBorder="1"/>
    <xf numFmtId="2" fontId="0" fillId="0" borderId="10" xfId="0" applyNumberFormat="1" applyBorder="1"/>
    <xf numFmtId="166" fontId="0" fillId="0" borderId="17" xfId="0" applyNumberFormat="1" applyBorder="1"/>
    <xf numFmtId="44" fontId="0" fillId="0" borderId="17" xfId="0" applyNumberFormat="1" applyBorder="1"/>
    <xf numFmtId="9" fontId="0" fillId="0" borderId="11" xfId="0" applyNumberFormat="1" applyBorder="1"/>
    <xf numFmtId="0" fontId="0" fillId="5" borderId="0" xfId="0" applyFill="1"/>
    <xf numFmtId="0" fontId="0" fillId="0" borderId="0" xfId="0" applyAlignment="1">
      <alignment horizontal="center" vertical="center"/>
    </xf>
    <xf numFmtId="167" fontId="0" fillId="0" borderId="2" xfId="0" applyNumberFormat="1" applyBorder="1"/>
    <xf numFmtId="168" fontId="0" fillId="0" borderId="2" xfId="0" applyNumberFormat="1" applyBorder="1"/>
    <xf numFmtId="167" fontId="0" fillId="0" borderId="4" xfId="0" applyNumberFormat="1" applyBorder="1"/>
    <xf numFmtId="168" fontId="0" fillId="0" borderId="4" xfId="0" applyNumberFormat="1" applyBorder="1"/>
    <xf numFmtId="0" fontId="10" fillId="9" borderId="18" xfId="0" applyFont="1" applyFill="1" applyBorder="1"/>
    <xf numFmtId="167" fontId="0" fillId="0" borderId="18" xfId="0" applyNumberFormat="1" applyBorder="1"/>
    <xf numFmtId="0" fontId="0" fillId="0" borderId="18" xfId="0" applyBorder="1"/>
    <xf numFmtId="166" fontId="0" fillId="0" borderId="18" xfId="0" applyNumberFormat="1" applyBorder="1"/>
    <xf numFmtId="0" fontId="4" fillId="0" borderId="3" xfId="0" applyFont="1" applyBorder="1"/>
    <xf numFmtId="0" fontId="8" fillId="6" borderId="5" xfId="4"/>
    <xf numFmtId="14" fontId="8" fillId="6" borderId="5" xfId="4" applyNumberFormat="1"/>
    <xf numFmtId="44" fontId="8" fillId="6" borderId="5" xfId="4" applyNumberFormat="1"/>
    <xf numFmtId="44" fontId="9" fillId="7" borderId="5" xfId="5" applyNumberFormat="1"/>
    <xf numFmtId="0" fontId="4" fillId="0" borderId="17" xfId="0" applyFont="1" applyBorder="1"/>
    <xf numFmtId="9" fontId="8" fillId="6" borderId="5" xfId="4" applyNumberFormat="1"/>
    <xf numFmtId="0" fontId="9" fillId="7" borderId="5" xfId="5"/>
    <xf numFmtId="0" fontId="4" fillId="10" borderId="3" xfId="0" applyFont="1" applyFill="1" applyBorder="1" applyProtection="1">
      <protection locked="0"/>
    </xf>
    <xf numFmtId="0" fontId="0" fillId="0" borderId="3" xfId="0" applyBorder="1" applyProtection="1">
      <protection locked="0"/>
    </xf>
    <xf numFmtId="166" fontId="0" fillId="0" borderId="3" xfId="0" applyNumberFormat="1" applyBorder="1" applyProtection="1">
      <protection locked="0"/>
    </xf>
    <xf numFmtId="0" fontId="4" fillId="10" borderId="20" xfId="0" applyFont="1" applyFill="1" applyBorder="1"/>
    <xf numFmtId="0" fontId="4" fillId="10" borderId="20" xfId="0" applyFont="1" applyFill="1" applyBorder="1" applyProtection="1"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>
      <alignment horizontal="center"/>
    </xf>
    <xf numFmtId="14" fontId="0" fillId="0" borderId="3" xfId="0" applyNumberFormat="1" applyBorder="1"/>
    <xf numFmtId="0" fontId="3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7" fillId="0" borderId="0" xfId="3"/>
    <xf numFmtId="0" fontId="12" fillId="0" borderId="17" xfId="0" applyFont="1" applyBorder="1"/>
    <xf numFmtId="0" fontId="0" fillId="0" borderId="17" xfId="0" applyBorder="1"/>
    <xf numFmtId="0" fontId="3" fillId="14" borderId="22" xfId="0" applyFont="1" applyFill="1" applyBorder="1"/>
    <xf numFmtId="0" fontId="3" fillId="14" borderId="0" xfId="0" applyFont="1" applyFill="1"/>
    <xf numFmtId="0" fontId="0" fillId="0" borderId="22" xfId="0" applyBorder="1"/>
    <xf numFmtId="44" fontId="0" fillId="0" borderId="22" xfId="1" applyFont="1" applyBorder="1"/>
    <xf numFmtId="0" fontId="0" fillId="15" borderId="23" xfId="0" applyFill="1" applyBorder="1"/>
    <xf numFmtId="44" fontId="0" fillId="15" borderId="23" xfId="1" applyFont="1" applyFill="1" applyBorder="1"/>
    <xf numFmtId="0" fontId="0" fillId="0" borderId="24" xfId="0" applyBorder="1"/>
    <xf numFmtId="44" fontId="0" fillId="0" borderId="25" xfId="1" applyFont="1" applyBorder="1"/>
    <xf numFmtId="0" fontId="3" fillId="14" borderId="26" xfId="0" applyFont="1" applyFill="1" applyBorder="1"/>
    <xf numFmtId="0" fontId="3" fillId="14" borderId="27" xfId="0" applyFont="1" applyFill="1" applyBorder="1"/>
    <xf numFmtId="0" fontId="3" fillId="14" borderId="28" xfId="0" applyFont="1" applyFill="1" applyBorder="1"/>
    <xf numFmtId="0" fontId="0" fillId="0" borderId="29" xfId="0" applyBorder="1"/>
    <xf numFmtId="0" fontId="0" fillId="0" borderId="30" xfId="0" applyBorder="1"/>
    <xf numFmtId="44" fontId="0" fillId="0" borderId="30" xfId="1" applyFont="1" applyBorder="1"/>
    <xf numFmtId="44" fontId="0" fillId="0" borderId="31" xfId="1" applyFont="1" applyBorder="1"/>
    <xf numFmtId="0" fontId="4" fillId="2" borderId="14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3" fillId="16" borderId="0" xfId="0" applyFont="1" applyFill="1"/>
    <xf numFmtId="0" fontId="13" fillId="0" borderId="2" xfId="0" applyFont="1" applyBorder="1"/>
    <xf numFmtId="0" fontId="7" fillId="0" borderId="2" xfId="3" applyFill="1" applyBorder="1"/>
    <xf numFmtId="0" fontId="2" fillId="0" borderId="1" xfId="2"/>
    <xf numFmtId="0" fontId="2" fillId="4" borderId="1" xfId="2" applyFill="1" applyAlignment="1">
      <alignment horizontal="left" vertical="center"/>
    </xf>
    <xf numFmtId="0" fontId="2" fillId="0" borderId="1" xfId="2" applyAlignment="1">
      <alignment vertical="center"/>
    </xf>
    <xf numFmtId="0" fontId="2" fillId="0" borderId="1" xfId="2" applyAlignment="1">
      <alignment horizontal="left" vertical="center"/>
    </xf>
    <xf numFmtId="0" fontId="0" fillId="0" borderId="19" xfId="0" applyBorder="1"/>
    <xf numFmtId="0" fontId="0" fillId="0" borderId="0" xfId="0"/>
    <xf numFmtId="0" fontId="11" fillId="11" borderId="21" xfId="0" applyFont="1" applyFill="1" applyBorder="1" applyAlignment="1">
      <alignment horizontal="center" vertical="center"/>
    </xf>
  </cellXfs>
  <cellStyles count="6">
    <cellStyle name="Calculation" xfId="5" builtinId="22"/>
    <cellStyle name="Currency" xfId="1" builtinId="4"/>
    <cellStyle name="Heading 1" xfId="2" builtinId="16"/>
    <cellStyle name="Hyperlink" xfId="3" builtinId="8"/>
    <cellStyle name="Input" xfId="4" builtinId="20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7" tint="-0.24994659260841701"/>
        </left>
        <right/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border diagonalUp="0" diagonalDown="0"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border diagonalUp="0" diagonalDown="0">
        <left/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border outline="0">
        <top style="thin">
          <color theme="7" tint="-0.24994659260841701"/>
        </top>
      </border>
    </dxf>
    <dxf>
      <border outline="0"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border outline="0">
        <bottom style="thin">
          <color theme="7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theme="7" tint="-0.24994659260841701"/>
        </left>
        <right style="thin">
          <color theme="7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293034</xdr:colOff>
      <xdr:row>0</xdr:row>
      <xdr:rowOff>28575</xdr:rowOff>
    </xdr:from>
    <xdr:to>
      <xdr:col>2</xdr:col>
      <xdr:colOff>655437</xdr:colOff>
      <xdr:row>0</xdr:row>
      <xdr:rowOff>390525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8B23553D-B702-C731-2FDC-26A72E73C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217209" y="28575"/>
          <a:ext cx="362403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4</xdr:row>
      <xdr:rowOff>142876</xdr:rowOff>
    </xdr:from>
    <xdr:to>
      <xdr:col>8</xdr:col>
      <xdr:colOff>314325</xdr:colOff>
      <xdr:row>13</xdr:row>
      <xdr:rowOff>28576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0C1951-D269-8E70-0A1B-26106D71587F}"/>
            </a:ext>
          </a:extLst>
        </xdr:cNvPr>
        <xdr:cNvSpPr txBox="1"/>
      </xdr:nvSpPr>
      <xdr:spPr>
        <a:xfrm>
          <a:off x="4648200" y="904876"/>
          <a:ext cx="1733550" cy="16002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Topics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Covered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Fill Series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Custom List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 &gt; Settings &gt; Advanced &gt; Edit Custome List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3</xdr:col>
      <xdr:colOff>285750</xdr:colOff>
      <xdr:row>0</xdr:row>
      <xdr:rowOff>38100</xdr:rowOff>
    </xdr:from>
    <xdr:to>
      <xdr:col>4</xdr:col>
      <xdr:colOff>38553</xdr:colOff>
      <xdr:row>1</xdr:row>
      <xdr:rowOff>0</xdr:rowOff>
    </xdr:to>
    <xdr:pic>
      <xdr:nvPicPr>
        <xdr:cNvPr id="4" name="Graphic 3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7D376C39-2C20-47D3-93BF-844536AD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62225" y="38100"/>
          <a:ext cx="362403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9</xdr:row>
      <xdr:rowOff>142875</xdr:rowOff>
    </xdr:from>
    <xdr:to>
      <xdr:col>11</xdr:col>
      <xdr:colOff>142875</xdr:colOff>
      <xdr:row>19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C088E-8B47-9DCD-7490-05882D20A1E9}"/>
            </a:ext>
          </a:extLst>
        </xdr:cNvPr>
        <xdr:cNvSpPr txBox="1"/>
      </xdr:nvSpPr>
      <xdr:spPr>
        <a:xfrm>
          <a:off x="7467600" y="1857375"/>
          <a:ext cx="1828800" cy="17907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Useful when you wnat to :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Split up Data / Combine Data from different columns fairly frequently.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E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Data Tab &gt; data tools section &gt; flash fill </a:t>
          </a:r>
          <a:endParaRPr lang="en-US" sz="1100"/>
        </a:p>
      </xdr:txBody>
    </xdr:sp>
    <xdr:clientData/>
  </xdr:twoCellAnchor>
  <xdr:twoCellAnchor editAs="oneCell">
    <xdr:from>
      <xdr:col>3</xdr:col>
      <xdr:colOff>819150</xdr:colOff>
      <xdr:row>0</xdr:row>
      <xdr:rowOff>19050</xdr:rowOff>
    </xdr:from>
    <xdr:to>
      <xdr:col>3</xdr:col>
      <xdr:colOff>1181553</xdr:colOff>
      <xdr:row>0</xdr:row>
      <xdr:rowOff>381000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16465D92-AE43-49D9-B978-4D54506E9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209925" y="19050"/>
          <a:ext cx="362403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0</xdr:row>
      <xdr:rowOff>0</xdr:rowOff>
    </xdr:from>
    <xdr:to>
      <xdr:col>5</xdr:col>
      <xdr:colOff>410028</xdr:colOff>
      <xdr:row>1</xdr:row>
      <xdr:rowOff>9525</xdr:rowOff>
    </xdr:to>
    <xdr:pic>
      <xdr:nvPicPr>
        <xdr:cNvPr id="2" name="Graphic 1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EC937E78-CE77-4E0C-9FEB-96426BA7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095625" y="0"/>
          <a:ext cx="362403" cy="361950"/>
        </a:xfrm>
        <a:prstGeom prst="rect">
          <a:avLst/>
        </a:prstGeom>
      </xdr:spPr>
    </xdr:pic>
    <xdr:clientData/>
  </xdr:twoCellAnchor>
  <xdr:twoCellAnchor>
    <xdr:from>
      <xdr:col>1</xdr:col>
      <xdr:colOff>1174279</xdr:colOff>
      <xdr:row>0</xdr:row>
      <xdr:rowOff>75709</xdr:rowOff>
    </xdr:from>
    <xdr:to>
      <xdr:col>2</xdr:col>
      <xdr:colOff>9525</xdr:colOff>
      <xdr:row>0</xdr:row>
      <xdr:rowOff>304800</xdr:rowOff>
    </xdr:to>
    <xdr:grpSp>
      <xdr:nvGrpSpPr>
        <xdr:cNvPr id="3" name="Graphic 2" descr="Palette outline">
          <a:extLst>
            <a:ext uri="{FF2B5EF4-FFF2-40B4-BE49-F238E27FC236}">
              <a16:creationId xmlns:a16="http://schemas.microsoft.com/office/drawing/2014/main" id="{818E3945-489B-4CC2-91C0-0FAA876EBCEF}"/>
            </a:ext>
          </a:extLst>
        </xdr:cNvPr>
        <xdr:cNvGrpSpPr/>
      </xdr:nvGrpSpPr>
      <xdr:grpSpPr>
        <a:xfrm>
          <a:off x="1841029" y="75709"/>
          <a:ext cx="283046" cy="229091"/>
          <a:chOff x="2498254" y="75707"/>
          <a:chExt cx="301624" cy="211197"/>
        </a:xfrm>
        <a:solidFill>
          <a:schemeClr val="dk1"/>
        </a:solidFill>
      </xdr:grpSpPr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4CE60720-0AC9-E158-45FB-AB67B4257909}"/>
              </a:ext>
            </a:extLst>
          </xdr:cNvPr>
          <xdr:cNvSpPr/>
        </xdr:nvSpPr>
        <xdr:spPr>
          <a:xfrm>
            <a:off x="2723526" y="207721"/>
            <a:ext cx="37703" cy="26392"/>
          </a:xfrm>
          <a:custGeom>
            <a:avLst/>
            <a:gdLst>
              <a:gd name="csX0" fmla="*/ 18852 w 37703"/>
              <a:gd name="csY0" fmla="*/ 26392 h 26392"/>
              <a:gd name="csX1" fmla="*/ 37703 w 37703"/>
              <a:gd name="csY1" fmla="*/ 13196 h 26392"/>
              <a:gd name="csX2" fmla="*/ 18852 w 37703"/>
              <a:gd name="csY2" fmla="*/ 0 h 26392"/>
              <a:gd name="csX3" fmla="*/ 0 w 37703"/>
              <a:gd name="csY3" fmla="*/ 13196 h 26392"/>
              <a:gd name="csX4" fmla="*/ 18852 w 37703"/>
              <a:gd name="csY4" fmla="*/ 26392 h 26392"/>
              <a:gd name="csX5" fmla="*/ 18852 w 37703"/>
              <a:gd name="csY5" fmla="*/ 7541 h 26392"/>
              <a:gd name="csX6" fmla="*/ 30162 w 37703"/>
              <a:gd name="csY6" fmla="*/ 13196 h 26392"/>
              <a:gd name="csX7" fmla="*/ 18852 w 37703"/>
              <a:gd name="csY7" fmla="*/ 18852 h 26392"/>
              <a:gd name="csX8" fmla="*/ 7541 w 37703"/>
              <a:gd name="csY8" fmla="*/ 13196 h 26392"/>
              <a:gd name="csX9" fmla="*/ 18852 w 37703"/>
              <a:gd name="csY9" fmla="*/ 7533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26392"/>
                </a:move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1" y="26392"/>
                  <a:pt x="18852" y="26392"/>
                </a:cubicBezTo>
                <a:close/>
                <a:moveTo>
                  <a:pt x="18852" y="7541"/>
                </a:move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50" y="7533"/>
                  <a:pt x="18852" y="7533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018D24B5-849F-CA70-2254-09726D169A71}"/>
              </a:ext>
            </a:extLst>
          </xdr:cNvPr>
          <xdr:cNvSpPr/>
        </xdr:nvSpPr>
        <xdr:spPr>
          <a:xfrm>
            <a:off x="2576476" y="234113"/>
            <a:ext cx="37703" cy="26392"/>
          </a:xfrm>
          <a:custGeom>
            <a:avLst/>
            <a:gdLst>
              <a:gd name="csX0" fmla="*/ 18852 w 37703"/>
              <a:gd name="csY0" fmla="*/ 0 h 26392"/>
              <a:gd name="csX1" fmla="*/ 0 w 37703"/>
              <a:gd name="csY1" fmla="*/ 13196 h 26392"/>
              <a:gd name="csX2" fmla="*/ 18852 w 37703"/>
              <a:gd name="csY2" fmla="*/ 26392 h 26392"/>
              <a:gd name="csX3" fmla="*/ 37703 w 37703"/>
              <a:gd name="csY3" fmla="*/ 13196 h 26392"/>
              <a:gd name="csX4" fmla="*/ 18852 w 37703"/>
              <a:gd name="csY4" fmla="*/ 0 h 26392"/>
              <a:gd name="csX5" fmla="*/ 18852 w 37703"/>
              <a:gd name="csY5" fmla="*/ 18852 h 26392"/>
              <a:gd name="csX6" fmla="*/ 7541 w 37703"/>
              <a:gd name="csY6" fmla="*/ 13196 h 26392"/>
              <a:gd name="csX7" fmla="*/ 18852 w 37703"/>
              <a:gd name="csY7" fmla="*/ 7541 h 26392"/>
              <a:gd name="csX8" fmla="*/ 30162 w 37703"/>
              <a:gd name="csY8" fmla="*/ 13196 h 26392"/>
              <a:gd name="csX9" fmla="*/ 18852 w 37703"/>
              <a:gd name="csY9" fmla="*/ 18874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0"/>
                </a:move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5" y="26392"/>
                  <a:pt x="18852" y="26392"/>
                </a:cubicBez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lose/>
                <a:moveTo>
                  <a:pt x="18852" y="18852"/>
                </a:move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65" y="7541"/>
                  <a:pt x="18852" y="7541"/>
                </a:cubicBez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49" y="18874"/>
                  <a:pt x="18852" y="18874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CD6EA7B0-524F-B608-8E55-D503AA3EA648}"/>
              </a:ext>
            </a:extLst>
          </xdr:cNvPr>
          <xdr:cNvSpPr/>
        </xdr:nvSpPr>
        <xdr:spPr>
          <a:xfrm>
            <a:off x="2723526" y="128522"/>
            <a:ext cx="37703" cy="26392"/>
          </a:xfrm>
          <a:custGeom>
            <a:avLst/>
            <a:gdLst>
              <a:gd name="csX0" fmla="*/ 18852 w 37703"/>
              <a:gd name="csY0" fmla="*/ 26392 h 26392"/>
              <a:gd name="csX1" fmla="*/ 37703 w 37703"/>
              <a:gd name="csY1" fmla="*/ 13196 h 26392"/>
              <a:gd name="csX2" fmla="*/ 18852 w 37703"/>
              <a:gd name="csY2" fmla="*/ 0 h 26392"/>
              <a:gd name="csX3" fmla="*/ 0 w 37703"/>
              <a:gd name="csY3" fmla="*/ 13196 h 26392"/>
              <a:gd name="csX4" fmla="*/ 18852 w 37703"/>
              <a:gd name="csY4" fmla="*/ 26392 h 26392"/>
              <a:gd name="csX5" fmla="*/ 18852 w 37703"/>
              <a:gd name="csY5" fmla="*/ 7541 h 26392"/>
              <a:gd name="csX6" fmla="*/ 30162 w 37703"/>
              <a:gd name="csY6" fmla="*/ 13196 h 26392"/>
              <a:gd name="csX7" fmla="*/ 18852 w 37703"/>
              <a:gd name="csY7" fmla="*/ 18852 h 26392"/>
              <a:gd name="csX8" fmla="*/ 7541 w 37703"/>
              <a:gd name="csY8" fmla="*/ 13196 h 26392"/>
              <a:gd name="csX9" fmla="*/ 18852 w 37703"/>
              <a:gd name="csY9" fmla="*/ 7533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26392"/>
                </a:move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1" y="26392"/>
                  <a:pt x="18852" y="26392"/>
                </a:cubicBezTo>
                <a:close/>
                <a:moveTo>
                  <a:pt x="18852" y="7541"/>
                </a:move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50" y="7533"/>
                  <a:pt x="18852" y="7533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532D39DC-22F5-4DC1-2CC3-26DC5BC8ABA5}"/>
              </a:ext>
            </a:extLst>
          </xdr:cNvPr>
          <xdr:cNvSpPr/>
        </xdr:nvSpPr>
        <xdr:spPr>
          <a:xfrm>
            <a:off x="2742377" y="166232"/>
            <a:ext cx="37703" cy="26392"/>
          </a:xfrm>
          <a:custGeom>
            <a:avLst/>
            <a:gdLst>
              <a:gd name="csX0" fmla="*/ 0 w 37703"/>
              <a:gd name="csY0" fmla="*/ 13196 h 26392"/>
              <a:gd name="csX1" fmla="*/ 18852 w 37703"/>
              <a:gd name="csY1" fmla="*/ 26392 h 26392"/>
              <a:gd name="csX2" fmla="*/ 37703 w 37703"/>
              <a:gd name="csY2" fmla="*/ 13196 h 26392"/>
              <a:gd name="csX3" fmla="*/ 18852 w 37703"/>
              <a:gd name="csY3" fmla="*/ 0 h 26392"/>
              <a:gd name="csX4" fmla="*/ 0 w 37703"/>
              <a:gd name="csY4" fmla="*/ 13196 h 26392"/>
              <a:gd name="csX5" fmla="*/ 30162 w 37703"/>
              <a:gd name="csY5" fmla="*/ 13196 h 26392"/>
              <a:gd name="csX6" fmla="*/ 18852 w 37703"/>
              <a:gd name="csY6" fmla="*/ 18852 h 26392"/>
              <a:gd name="csX7" fmla="*/ 7541 w 37703"/>
              <a:gd name="csY7" fmla="*/ 13196 h 26392"/>
              <a:gd name="csX8" fmla="*/ 18852 w 37703"/>
              <a:gd name="csY8" fmla="*/ 7541 h 26392"/>
              <a:gd name="csX9" fmla="*/ 30162 w 37703"/>
              <a:gd name="csY9" fmla="*/ 13196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0" y="13196"/>
                </a:moveTo>
                <a:cubicBezTo>
                  <a:pt x="0" y="20360"/>
                  <a:pt x="8295" y="26392"/>
                  <a:pt x="18852" y="26392"/>
                </a:cubicBez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lose/>
                <a:moveTo>
                  <a:pt x="30162" y="13196"/>
                </a:move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65" y="7541"/>
                  <a:pt x="18852" y="7541"/>
                </a:cubicBezTo>
                <a:cubicBezTo>
                  <a:pt x="25638" y="7541"/>
                  <a:pt x="30162" y="10941"/>
                  <a:pt x="30162" y="13196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4C41ACB2-08EB-A724-8429-47D4D14BF59D}"/>
              </a:ext>
            </a:extLst>
          </xdr:cNvPr>
          <xdr:cNvSpPr/>
        </xdr:nvSpPr>
        <xdr:spPr>
          <a:xfrm>
            <a:off x="2682049" y="102122"/>
            <a:ext cx="37703" cy="26392"/>
          </a:xfrm>
          <a:custGeom>
            <a:avLst/>
            <a:gdLst>
              <a:gd name="csX0" fmla="*/ 18852 w 37703"/>
              <a:gd name="csY0" fmla="*/ 26392 h 26392"/>
              <a:gd name="csX1" fmla="*/ 37703 w 37703"/>
              <a:gd name="csY1" fmla="*/ 13196 h 26392"/>
              <a:gd name="csX2" fmla="*/ 18852 w 37703"/>
              <a:gd name="csY2" fmla="*/ 0 h 26392"/>
              <a:gd name="csX3" fmla="*/ 0 w 37703"/>
              <a:gd name="csY3" fmla="*/ 13196 h 26392"/>
              <a:gd name="csX4" fmla="*/ 18852 w 37703"/>
              <a:gd name="csY4" fmla="*/ 26392 h 26392"/>
              <a:gd name="csX5" fmla="*/ 18852 w 37703"/>
              <a:gd name="csY5" fmla="*/ 7541 h 26392"/>
              <a:gd name="csX6" fmla="*/ 30162 w 37703"/>
              <a:gd name="csY6" fmla="*/ 13196 h 26392"/>
              <a:gd name="csX7" fmla="*/ 18852 w 37703"/>
              <a:gd name="csY7" fmla="*/ 18852 h 26392"/>
              <a:gd name="csX8" fmla="*/ 7541 w 37703"/>
              <a:gd name="csY8" fmla="*/ 13196 h 26392"/>
              <a:gd name="csX9" fmla="*/ 18852 w 37703"/>
              <a:gd name="csY9" fmla="*/ 7533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26392"/>
                </a:move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5" y="26392"/>
                  <a:pt x="18852" y="26392"/>
                </a:cubicBezTo>
                <a:close/>
                <a:moveTo>
                  <a:pt x="18852" y="7541"/>
                </a:move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50" y="7533"/>
                  <a:pt x="18852" y="7533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9" name="Freeform: Shape 8">
            <a:extLst>
              <a:ext uri="{FF2B5EF4-FFF2-40B4-BE49-F238E27FC236}">
                <a16:creationId xmlns:a16="http://schemas.microsoft.com/office/drawing/2014/main" id="{DBE4CDC8-E1CA-A041-C8F3-E24569EDDE61}"/>
              </a:ext>
            </a:extLst>
          </xdr:cNvPr>
          <xdr:cNvSpPr/>
        </xdr:nvSpPr>
        <xdr:spPr>
          <a:xfrm>
            <a:off x="2682049" y="230365"/>
            <a:ext cx="37703" cy="26392"/>
          </a:xfrm>
          <a:custGeom>
            <a:avLst/>
            <a:gdLst>
              <a:gd name="csX0" fmla="*/ 18852 w 37703"/>
              <a:gd name="csY0" fmla="*/ 26392 h 26392"/>
              <a:gd name="csX1" fmla="*/ 37703 w 37703"/>
              <a:gd name="csY1" fmla="*/ 13196 h 26392"/>
              <a:gd name="csX2" fmla="*/ 18852 w 37703"/>
              <a:gd name="csY2" fmla="*/ 0 h 26392"/>
              <a:gd name="csX3" fmla="*/ 0 w 37703"/>
              <a:gd name="csY3" fmla="*/ 13196 h 26392"/>
              <a:gd name="csX4" fmla="*/ 18852 w 37703"/>
              <a:gd name="csY4" fmla="*/ 26392 h 26392"/>
              <a:gd name="csX5" fmla="*/ 18852 w 37703"/>
              <a:gd name="csY5" fmla="*/ 7541 h 26392"/>
              <a:gd name="csX6" fmla="*/ 30162 w 37703"/>
              <a:gd name="csY6" fmla="*/ 13196 h 26392"/>
              <a:gd name="csX7" fmla="*/ 18852 w 37703"/>
              <a:gd name="csY7" fmla="*/ 18852 h 26392"/>
              <a:gd name="csX8" fmla="*/ 7541 w 37703"/>
              <a:gd name="csY8" fmla="*/ 13196 h 26392"/>
              <a:gd name="csX9" fmla="*/ 18852 w 37703"/>
              <a:gd name="csY9" fmla="*/ 7518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26392"/>
                </a:move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5" y="26392"/>
                  <a:pt x="18852" y="26392"/>
                </a:cubicBezTo>
                <a:close/>
                <a:moveTo>
                  <a:pt x="18852" y="7541"/>
                </a:move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50" y="7518"/>
                  <a:pt x="18852" y="7518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FF923988-F059-C24F-A8C3-509CE273D9B7}"/>
              </a:ext>
            </a:extLst>
          </xdr:cNvPr>
          <xdr:cNvSpPr/>
        </xdr:nvSpPr>
        <xdr:spPr>
          <a:xfrm>
            <a:off x="2629261" y="241676"/>
            <a:ext cx="37703" cy="26392"/>
          </a:xfrm>
          <a:custGeom>
            <a:avLst/>
            <a:gdLst>
              <a:gd name="csX0" fmla="*/ 18852 w 37703"/>
              <a:gd name="csY0" fmla="*/ 26392 h 26392"/>
              <a:gd name="csX1" fmla="*/ 37703 w 37703"/>
              <a:gd name="csY1" fmla="*/ 13196 h 26392"/>
              <a:gd name="csX2" fmla="*/ 18852 w 37703"/>
              <a:gd name="csY2" fmla="*/ 0 h 26392"/>
              <a:gd name="csX3" fmla="*/ 0 w 37703"/>
              <a:gd name="csY3" fmla="*/ 13196 h 26392"/>
              <a:gd name="csX4" fmla="*/ 18852 w 37703"/>
              <a:gd name="csY4" fmla="*/ 26392 h 26392"/>
              <a:gd name="csX5" fmla="*/ 18852 w 37703"/>
              <a:gd name="csY5" fmla="*/ 7541 h 26392"/>
              <a:gd name="csX6" fmla="*/ 30162 w 37703"/>
              <a:gd name="csY6" fmla="*/ 13196 h 26392"/>
              <a:gd name="csX7" fmla="*/ 18852 w 37703"/>
              <a:gd name="csY7" fmla="*/ 18852 h 26392"/>
              <a:gd name="csX8" fmla="*/ 7541 w 37703"/>
              <a:gd name="csY8" fmla="*/ 13196 h 26392"/>
              <a:gd name="csX9" fmla="*/ 18852 w 37703"/>
              <a:gd name="csY9" fmla="*/ 7541 h 263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7703" h="26392">
                <a:moveTo>
                  <a:pt x="18852" y="26392"/>
                </a:moveTo>
                <a:cubicBezTo>
                  <a:pt x="29408" y="26392"/>
                  <a:pt x="37703" y="20360"/>
                  <a:pt x="37703" y="13196"/>
                </a:cubicBezTo>
                <a:cubicBezTo>
                  <a:pt x="37703" y="6032"/>
                  <a:pt x="29408" y="0"/>
                  <a:pt x="18852" y="0"/>
                </a:cubicBezTo>
                <a:cubicBezTo>
                  <a:pt x="8295" y="0"/>
                  <a:pt x="0" y="6032"/>
                  <a:pt x="0" y="13196"/>
                </a:cubicBezTo>
                <a:cubicBezTo>
                  <a:pt x="0" y="20360"/>
                  <a:pt x="8295" y="26392"/>
                  <a:pt x="18852" y="26392"/>
                </a:cubicBezTo>
                <a:close/>
                <a:moveTo>
                  <a:pt x="18852" y="7541"/>
                </a:moveTo>
                <a:cubicBezTo>
                  <a:pt x="25638" y="7541"/>
                  <a:pt x="30162" y="10934"/>
                  <a:pt x="30162" y="13196"/>
                </a:cubicBezTo>
                <a:cubicBezTo>
                  <a:pt x="30162" y="15458"/>
                  <a:pt x="25638" y="18852"/>
                  <a:pt x="18852" y="18852"/>
                </a:cubicBezTo>
                <a:cubicBezTo>
                  <a:pt x="12065" y="18852"/>
                  <a:pt x="7541" y="15458"/>
                  <a:pt x="7541" y="13196"/>
                </a:cubicBezTo>
                <a:cubicBezTo>
                  <a:pt x="7541" y="10934"/>
                  <a:pt x="12054" y="7541"/>
                  <a:pt x="18852" y="7541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  <xdr:sp macro="" textlink="">
        <xdr:nvSpPr>
          <xdr:cNvPr id="11" name="Freeform: Shape 10">
            <a:extLst>
              <a:ext uri="{FF2B5EF4-FFF2-40B4-BE49-F238E27FC236}">
                <a16:creationId xmlns:a16="http://schemas.microsoft.com/office/drawing/2014/main" id="{2B9816B1-A81D-1329-365F-E0A7F1CF87C5}"/>
              </a:ext>
            </a:extLst>
          </xdr:cNvPr>
          <xdr:cNvSpPr/>
        </xdr:nvSpPr>
        <xdr:spPr>
          <a:xfrm>
            <a:off x="2498254" y="75707"/>
            <a:ext cx="301624" cy="211197"/>
          </a:xfrm>
          <a:custGeom>
            <a:avLst/>
            <a:gdLst>
              <a:gd name="csX0" fmla="*/ 95856 w 301624"/>
              <a:gd name="csY0" fmla="*/ 82166 h 211197"/>
              <a:gd name="csX1" fmla="*/ 88983 w 301624"/>
              <a:gd name="csY1" fmla="*/ 80715 h 211197"/>
              <a:gd name="csX2" fmla="*/ 41854 w 301624"/>
              <a:gd name="csY2" fmla="*/ 60355 h 211197"/>
              <a:gd name="csX3" fmla="*/ 28858 w 301624"/>
              <a:gd name="csY3" fmla="*/ 57339 h 211197"/>
              <a:gd name="csX4" fmla="*/ 0 w 301624"/>
              <a:gd name="csY4" fmla="*/ 105599 h 211197"/>
              <a:gd name="csX5" fmla="*/ 150812 w 301624"/>
              <a:gd name="csY5" fmla="*/ 211197 h 211197"/>
              <a:gd name="csX6" fmla="*/ 301624 w 301624"/>
              <a:gd name="csY6" fmla="*/ 105599 h 211197"/>
              <a:gd name="csX7" fmla="*/ 150812 w 301624"/>
              <a:gd name="csY7" fmla="*/ 0 h 211197"/>
              <a:gd name="csX8" fmla="*/ 86717 w 301624"/>
              <a:gd name="csY8" fmla="*/ 41473 h 211197"/>
              <a:gd name="csX9" fmla="*/ 105568 w 301624"/>
              <a:gd name="csY9" fmla="*/ 60325 h 211197"/>
              <a:gd name="csX10" fmla="*/ 95856 w 301624"/>
              <a:gd name="csY10" fmla="*/ 82166 h 211197"/>
              <a:gd name="csX11" fmla="*/ 110907 w 301624"/>
              <a:gd name="csY11" fmla="*/ 55020 h 211197"/>
              <a:gd name="csX12" fmla="*/ 92056 w 301624"/>
              <a:gd name="csY12" fmla="*/ 36169 h 211197"/>
              <a:gd name="csX13" fmla="*/ 89017 w 301624"/>
              <a:gd name="csY13" fmla="*/ 23745 h 211197"/>
              <a:gd name="csX14" fmla="*/ 150820 w 301624"/>
              <a:gd name="csY14" fmla="*/ 7556 h 211197"/>
              <a:gd name="csX15" fmla="*/ 294091 w 301624"/>
              <a:gd name="csY15" fmla="*/ 105614 h 211197"/>
              <a:gd name="csX16" fmla="*/ 150827 w 301624"/>
              <a:gd name="csY16" fmla="*/ 203672 h 211197"/>
              <a:gd name="csX17" fmla="*/ 7556 w 301624"/>
              <a:gd name="csY17" fmla="*/ 105614 h 211197"/>
              <a:gd name="csX18" fmla="*/ 12898 w 301624"/>
              <a:gd name="csY18" fmla="*/ 78347 h 211197"/>
              <a:gd name="csX19" fmla="*/ 28858 w 301624"/>
              <a:gd name="csY19" fmla="*/ 64883 h 211197"/>
              <a:gd name="csX20" fmla="*/ 28858 w 301624"/>
              <a:gd name="csY20" fmla="*/ 64883 h 211197"/>
              <a:gd name="csX21" fmla="*/ 38861 w 301624"/>
              <a:gd name="csY21" fmla="*/ 67281 h 211197"/>
              <a:gd name="csX22" fmla="*/ 85989 w 301624"/>
              <a:gd name="csY22" fmla="*/ 87641 h 211197"/>
              <a:gd name="csX23" fmla="*/ 95856 w 301624"/>
              <a:gd name="csY23" fmla="*/ 89711 h 211197"/>
              <a:gd name="csX24" fmla="*/ 116140 w 301624"/>
              <a:gd name="csY24" fmla="*/ 77065 h 211197"/>
              <a:gd name="csX25" fmla="*/ 110907 w 301624"/>
              <a:gd name="csY25" fmla="*/ 55020 h 21119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</a:cxnLst>
            <a:rect l="l" t="t" r="r" b="b"/>
            <a:pathLst>
              <a:path w="301624" h="211197">
                <a:moveTo>
                  <a:pt x="95856" y="82166"/>
                </a:moveTo>
                <a:cubicBezTo>
                  <a:pt x="93490" y="82159"/>
                  <a:pt x="91150" y="81666"/>
                  <a:pt x="88983" y="80715"/>
                </a:cubicBezTo>
                <a:lnTo>
                  <a:pt x="41854" y="60355"/>
                </a:lnTo>
                <a:cubicBezTo>
                  <a:pt x="37774" y="58473"/>
                  <a:pt x="33351" y="57447"/>
                  <a:pt x="28858" y="57339"/>
                </a:cubicBezTo>
                <a:cubicBezTo>
                  <a:pt x="6327" y="57339"/>
                  <a:pt x="0" y="89179"/>
                  <a:pt x="0" y="105599"/>
                </a:cubicBezTo>
                <a:cubicBezTo>
                  <a:pt x="0" y="164038"/>
                  <a:pt x="67488" y="211197"/>
                  <a:pt x="150812" y="211197"/>
                </a:cubicBezTo>
                <a:cubicBezTo>
                  <a:pt x="234136" y="211197"/>
                  <a:pt x="301624" y="164068"/>
                  <a:pt x="301624" y="105599"/>
                </a:cubicBezTo>
                <a:cubicBezTo>
                  <a:pt x="301624" y="47129"/>
                  <a:pt x="234136" y="0"/>
                  <a:pt x="150812" y="0"/>
                </a:cubicBezTo>
                <a:cubicBezTo>
                  <a:pt x="65226" y="0"/>
                  <a:pt x="78799" y="33556"/>
                  <a:pt x="86717" y="41473"/>
                </a:cubicBezTo>
                <a:lnTo>
                  <a:pt x="105568" y="60325"/>
                </a:lnTo>
                <a:cubicBezTo>
                  <a:pt x="115639" y="70735"/>
                  <a:pt x="107092" y="82166"/>
                  <a:pt x="95856" y="82166"/>
                </a:cubicBezTo>
                <a:close/>
                <a:moveTo>
                  <a:pt x="110907" y="55020"/>
                </a:moveTo>
                <a:lnTo>
                  <a:pt x="92056" y="36169"/>
                </a:lnTo>
                <a:cubicBezTo>
                  <a:pt x="88854" y="32891"/>
                  <a:pt x="87690" y="28131"/>
                  <a:pt x="89017" y="23745"/>
                </a:cubicBezTo>
                <a:cubicBezTo>
                  <a:pt x="90589" y="19949"/>
                  <a:pt x="99694" y="7556"/>
                  <a:pt x="150820" y="7556"/>
                </a:cubicBezTo>
                <a:cubicBezTo>
                  <a:pt x="229823" y="7556"/>
                  <a:pt x="294091" y="51544"/>
                  <a:pt x="294091" y="105614"/>
                </a:cubicBezTo>
                <a:cubicBezTo>
                  <a:pt x="294091" y="159684"/>
                  <a:pt x="229823" y="203672"/>
                  <a:pt x="150827" y="203672"/>
                </a:cubicBezTo>
                <a:cubicBezTo>
                  <a:pt x="71832" y="203672"/>
                  <a:pt x="7556" y="159684"/>
                  <a:pt x="7556" y="105614"/>
                </a:cubicBezTo>
                <a:cubicBezTo>
                  <a:pt x="7574" y="96266"/>
                  <a:pt x="9387" y="87010"/>
                  <a:pt x="12898" y="78347"/>
                </a:cubicBezTo>
                <a:cubicBezTo>
                  <a:pt x="18802" y="64910"/>
                  <a:pt x="26351" y="64883"/>
                  <a:pt x="28858" y="64883"/>
                </a:cubicBezTo>
                <a:lnTo>
                  <a:pt x="28858" y="64883"/>
                </a:lnTo>
                <a:cubicBezTo>
                  <a:pt x="32320" y="65000"/>
                  <a:pt x="35722" y="65816"/>
                  <a:pt x="38861" y="67281"/>
                </a:cubicBezTo>
                <a:lnTo>
                  <a:pt x="85989" y="87641"/>
                </a:lnTo>
                <a:cubicBezTo>
                  <a:pt x="89102" y="89000"/>
                  <a:pt x="92460" y="89705"/>
                  <a:pt x="95856" y="89711"/>
                </a:cubicBezTo>
                <a:cubicBezTo>
                  <a:pt x="104524" y="89879"/>
                  <a:pt x="112476" y="84922"/>
                  <a:pt x="116140" y="77065"/>
                </a:cubicBezTo>
                <a:cubicBezTo>
                  <a:pt x="119126" y="69342"/>
                  <a:pt x="117046" y="60577"/>
                  <a:pt x="110907" y="55020"/>
                </a:cubicBezTo>
                <a:close/>
              </a:path>
            </a:pathLst>
          </a:custGeom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</xdr:sp>
    </xdr:grpSp>
    <xdr:clientData/>
  </xdr:twoCellAnchor>
  <xdr:twoCellAnchor>
    <xdr:from>
      <xdr:col>8</xdr:col>
      <xdr:colOff>381000</xdr:colOff>
      <xdr:row>2</xdr:row>
      <xdr:rowOff>104775</xdr:rowOff>
    </xdr:from>
    <xdr:to>
      <xdr:col>12</xdr:col>
      <xdr:colOff>47625</xdr:colOff>
      <xdr:row>16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15A8D34-CAAC-FC44-A763-E9A445D00823}"/>
            </a:ext>
          </a:extLst>
        </xdr:cNvPr>
        <xdr:cNvSpPr txBox="1"/>
      </xdr:nvSpPr>
      <xdr:spPr>
        <a:xfrm>
          <a:off x="5257800" y="657225"/>
          <a:ext cx="2105025" cy="27146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Named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Range:</a:t>
          </a:r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space in variable name, use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"_"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connect the name.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can create a Named Range through: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 Box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Tab &gt; Defined Names Section &gt;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 Manager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Name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from Selection (Ctrl + Shift + F3)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F3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Shows all the named ranges in the workbook.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0</xdr:row>
      <xdr:rowOff>0</xdr:rowOff>
    </xdr:from>
    <xdr:to>
      <xdr:col>4</xdr:col>
      <xdr:colOff>38553</xdr:colOff>
      <xdr:row>1</xdr:row>
      <xdr:rowOff>0</xdr:rowOff>
    </xdr:to>
    <xdr:pic>
      <xdr:nvPicPr>
        <xdr:cNvPr id="2" name="Graphic 1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417A85F3-BB21-4487-B1AC-B02F57AD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38375" y="0"/>
          <a:ext cx="362403" cy="36195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3</xdr:row>
      <xdr:rowOff>47625</xdr:rowOff>
    </xdr:from>
    <xdr:to>
      <xdr:col>8</xdr:col>
      <xdr:colOff>276225</xdr:colOff>
      <xdr:row>13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26A8A-A46C-22FC-665A-5D6A7240277A}"/>
            </a:ext>
          </a:extLst>
        </xdr:cNvPr>
        <xdr:cNvSpPr txBox="1"/>
      </xdr:nvSpPr>
      <xdr:spPr>
        <a:xfrm>
          <a:off x="3952875" y="800100"/>
          <a:ext cx="1704975" cy="18764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Fill Series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shorcut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Alt + E + I + S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Converting: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Use "=A1/100" enter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Then convert to persentage.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Cut out the decimals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home &gt; number group &gt; drop down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3</xdr:row>
      <xdr:rowOff>28575</xdr:rowOff>
    </xdr:from>
    <xdr:to>
      <xdr:col>7</xdr:col>
      <xdr:colOff>447675</xdr:colOff>
      <xdr:row>14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94CAE7-F826-78B6-82A6-FF3CD93E8D81}"/>
            </a:ext>
          </a:extLst>
        </xdr:cNvPr>
        <xdr:cNvSpPr txBox="1"/>
      </xdr:nvSpPr>
      <xdr:spPr>
        <a:xfrm>
          <a:off x="3724275" y="742950"/>
          <a:ext cx="2362200" cy="21621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format cell shortcut: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+ 1</a:t>
          </a:r>
        </a:p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All dates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excel are numbers.</a:t>
          </a:r>
        </a:p>
        <a:p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Excel considers the start of the universe to be: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01/01/1900.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&gt;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can test this by entering this date in the cell and converting it to a general Formatting.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It should return 1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952953</xdr:colOff>
      <xdr:row>1</xdr:row>
      <xdr:rowOff>38100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DAD29363-9AB1-4DA3-97B6-1285E73DE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019425" y="0"/>
          <a:ext cx="362403" cy="361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2543175</xdr:colOff>
      <xdr:row>0</xdr:row>
      <xdr:rowOff>19050</xdr:rowOff>
    </xdr:from>
    <xdr:to>
      <xdr:col>2</xdr:col>
      <xdr:colOff>229053</xdr:colOff>
      <xdr:row>1</xdr:row>
      <xdr:rowOff>9525</xdr:rowOff>
    </xdr:to>
    <xdr:pic>
      <xdr:nvPicPr>
        <xdr:cNvPr id="2" name="Graphic 1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07BF2EBC-2DCD-4716-AE58-6EEB42E22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33750" y="19050"/>
          <a:ext cx="362403" cy="361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0</xdr:row>
      <xdr:rowOff>0</xdr:rowOff>
    </xdr:from>
    <xdr:to>
      <xdr:col>5</xdr:col>
      <xdr:colOff>610053</xdr:colOff>
      <xdr:row>1</xdr:row>
      <xdr:rowOff>19050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848D5A27-FD74-4B4E-B6E2-DE9AFBF4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295650" y="0"/>
          <a:ext cx="362403" cy="361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19050</xdr:rowOff>
    </xdr:from>
    <xdr:to>
      <xdr:col>5</xdr:col>
      <xdr:colOff>705303</xdr:colOff>
      <xdr:row>1</xdr:row>
      <xdr:rowOff>9525</xdr:rowOff>
    </xdr:to>
    <xdr:pic>
      <xdr:nvPicPr>
        <xdr:cNvPr id="2" name="Graphic 1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97369915-3E45-4593-A821-9E4B41A79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90900" y="19050"/>
          <a:ext cx="362403" cy="361950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8</xdr:row>
      <xdr:rowOff>0</xdr:rowOff>
    </xdr:from>
    <xdr:to>
      <xdr:col>8</xdr:col>
      <xdr:colOff>76200</xdr:colOff>
      <xdr:row>27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B3B8CD-06E6-AD0D-4683-CF1889AE403B}"/>
            </a:ext>
          </a:extLst>
        </xdr:cNvPr>
        <xdr:cNvSpPr txBox="1"/>
      </xdr:nvSpPr>
      <xdr:spPr>
        <a:xfrm>
          <a:off x="4267200" y="1743075"/>
          <a:ext cx="2790825" cy="36766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To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create a list: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Data Tab &gt; Data Tools Group &gt; Data Validation &gt; Settings &gt; list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Lock Down Cells (Protecting Cells)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By default, every cell in excel is locked. (But can still edit every cell because 👇)</a:t>
          </a:r>
        </a:p>
        <a:p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The locking only takes effect when you protect the worksheet. </a:t>
          </a:r>
        </a:p>
        <a:p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Steps to achive this:</a:t>
          </a:r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the cells that can be edited and then unlock them. 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select cells &gt; Format Cells &gt; Protection &gt; unlock</a:t>
          </a:r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Review Tab &gt; Protect Group &gt; Protect Sheet</a:t>
          </a:r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 : 123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6</xdr:row>
      <xdr:rowOff>33618</xdr:rowOff>
    </xdr:from>
    <xdr:to>
      <xdr:col>14</xdr:col>
      <xdr:colOff>336176</xdr:colOff>
      <xdr:row>18</xdr:row>
      <xdr:rowOff>78442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127A49-DA44-49FC-803A-232D9C63E13C}"/>
            </a:ext>
          </a:extLst>
        </xdr:cNvPr>
        <xdr:cNvSpPr txBox="1"/>
      </xdr:nvSpPr>
      <xdr:spPr>
        <a:xfrm>
          <a:off x="11306175" y="1376643"/>
          <a:ext cx="2393576" cy="233082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Functions</a:t>
          </a:r>
          <a:r>
            <a:rPr lang="en-US" sz="1100" baseline="0"/>
            <a:t> dialog box: </a:t>
          </a:r>
          <a:r>
            <a:rPr lang="en-US" sz="1100" b="1" baseline="0"/>
            <a:t>fx</a:t>
          </a:r>
          <a:r>
            <a:rPr lang="en-US" sz="1100" baseline="0"/>
            <a:t> icon.</a:t>
          </a:r>
        </a:p>
        <a:p>
          <a:endParaRPr lang="en-US" sz="1100" baseline="0"/>
        </a:p>
        <a:p>
          <a:r>
            <a:rPr lang="en-US" sz="1100" baseline="0"/>
            <a:t>2. or:</a:t>
          </a:r>
        </a:p>
        <a:p>
          <a:r>
            <a:rPr lang="en-US" sz="1100" baseline="0"/>
            <a:t>* Formula Tab &gt; Function Library Group &gt; Logical &gt; IF</a:t>
          </a:r>
          <a:endParaRPr lang="en-US" sz="1100"/>
        </a:p>
      </xdr:txBody>
    </xdr:sp>
    <xdr:clientData/>
  </xdr:twoCellAnchor>
  <xdr:twoCellAnchor editAs="oneCell">
    <xdr:from>
      <xdr:col>3</xdr:col>
      <xdr:colOff>495300</xdr:colOff>
      <xdr:row>0</xdr:row>
      <xdr:rowOff>0</xdr:rowOff>
    </xdr:from>
    <xdr:to>
      <xdr:col>4</xdr:col>
      <xdr:colOff>248103</xdr:colOff>
      <xdr:row>1</xdr:row>
      <xdr:rowOff>28575</xdr:rowOff>
    </xdr:to>
    <xdr:pic>
      <xdr:nvPicPr>
        <xdr:cNvPr id="4" name="Graphic 3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FAD61193-6207-4D51-9242-A62DB4E3F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581400" y="0"/>
          <a:ext cx="362403" cy="361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714375</xdr:colOff>
      <xdr:row>9</xdr:row>
      <xdr:rowOff>47625</xdr:rowOff>
    </xdr:from>
    <xdr:to>
      <xdr:col>13</xdr:col>
      <xdr:colOff>438150</xdr:colOff>
      <xdr:row>18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10ADA9-DD60-43B1-ACC6-27BC0DA46EF4}"/>
            </a:ext>
          </a:extLst>
        </xdr:cNvPr>
        <xdr:cNvSpPr txBox="1"/>
      </xdr:nvSpPr>
      <xdr:spPr>
        <a:xfrm>
          <a:off x="9553575" y="1838325"/>
          <a:ext cx="1933575" cy="17907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</a:t>
          </a:r>
          <a:r>
            <a:rPr lang="en-US" sz="1100" baseline="0"/>
            <a:t> Nested IFs</a:t>
          </a:r>
        </a:p>
        <a:p>
          <a:r>
            <a:rPr lang="en-US" sz="1100" baseline="0"/>
            <a:t>* IF(logic, if true,IF(logic, if true, false))</a:t>
          </a:r>
          <a:endParaRPr lang="en-US" sz="1100"/>
        </a:p>
      </xdr:txBody>
    </xdr:sp>
    <xdr:clientData/>
  </xdr:twoCellAnchor>
  <xdr:twoCellAnchor editAs="oneCell">
    <xdr:from>
      <xdr:col>3</xdr:col>
      <xdr:colOff>342900</xdr:colOff>
      <xdr:row>0</xdr:row>
      <xdr:rowOff>19050</xdr:rowOff>
    </xdr:from>
    <xdr:to>
      <xdr:col>3</xdr:col>
      <xdr:colOff>705303</xdr:colOff>
      <xdr:row>1</xdr:row>
      <xdr:rowOff>9525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7315236A-830B-4C20-BFDD-DAF04047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33675" y="19050"/>
          <a:ext cx="362403" cy="371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8</xdr:row>
      <xdr:rowOff>152400</xdr:rowOff>
    </xdr:from>
    <xdr:to>
      <xdr:col>11</xdr:col>
      <xdr:colOff>333375</xdr:colOff>
      <xdr:row>18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5D7656-1454-40B9-88B9-0D86C4AAB5FC}"/>
            </a:ext>
          </a:extLst>
        </xdr:cNvPr>
        <xdr:cNvSpPr txBox="1"/>
      </xdr:nvSpPr>
      <xdr:spPr>
        <a:xfrm>
          <a:off x="7010400" y="1857375"/>
          <a:ext cx="2009775" cy="18478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 IF</a:t>
          </a:r>
          <a:r>
            <a:rPr lang="en-US" sz="1100" b="1" baseline="0"/>
            <a:t>NA(</a:t>
          </a:r>
          <a:r>
            <a:rPr lang="en-US" sz="1100" baseline="0"/>
            <a:t>value, value if na</a:t>
          </a:r>
          <a:r>
            <a:rPr lang="en-US" sz="1100" b="1" baseline="0"/>
            <a:t>)</a:t>
          </a:r>
          <a:r>
            <a:rPr lang="en-US" sz="1100" b="0" baseline="0"/>
            <a:t>:</a:t>
          </a:r>
        </a:p>
        <a:p>
          <a:r>
            <a:rPr lang="en-US" sz="1100" b="0" baseline="0"/>
            <a:t>* Used specifically for "N/A Errors"</a:t>
          </a:r>
        </a:p>
        <a:p>
          <a:endParaRPr lang="en-US" sz="1100" b="0" baseline="0"/>
        </a:p>
        <a:p>
          <a:r>
            <a:rPr lang="en-US" sz="1100" b="1" baseline="0"/>
            <a:t>2. IFERROR()</a:t>
          </a:r>
        </a:p>
        <a:p>
          <a:r>
            <a:rPr lang="en-US" sz="1100" b="1" baseline="0"/>
            <a:t>* </a:t>
          </a:r>
          <a:r>
            <a:rPr lang="en-US" sz="1100" b="0" baseline="0"/>
            <a:t>Used for general Errors.</a:t>
          </a:r>
          <a:endParaRPr lang="en-US" sz="1100" b="1"/>
        </a:p>
      </xdr:txBody>
    </xdr:sp>
    <xdr:clientData/>
  </xdr:twoCellAnchor>
  <xdr:twoCellAnchor editAs="oneCell">
    <xdr:from>
      <xdr:col>4</xdr:col>
      <xdr:colOff>76200</xdr:colOff>
      <xdr:row>0</xdr:row>
      <xdr:rowOff>0</xdr:rowOff>
    </xdr:from>
    <xdr:to>
      <xdr:col>5</xdr:col>
      <xdr:colOff>48078</xdr:colOff>
      <xdr:row>1</xdr:row>
      <xdr:rowOff>9525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588E027B-4971-41B6-B5D3-70E74E5B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800475" y="0"/>
          <a:ext cx="362403" cy="371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228601</xdr:colOff>
      <xdr:row>3</xdr:row>
      <xdr:rowOff>142874</xdr:rowOff>
    </xdr:from>
    <xdr:to>
      <xdr:col>14</xdr:col>
      <xdr:colOff>438151</xdr:colOff>
      <xdr:row>23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482986-E2A3-4430-86A6-5F8BCF7F04A2}"/>
            </a:ext>
          </a:extLst>
        </xdr:cNvPr>
        <xdr:cNvSpPr txBox="1"/>
      </xdr:nvSpPr>
      <xdr:spPr>
        <a:xfrm>
          <a:off x="8267701" y="923924"/>
          <a:ext cx="3867150" cy="370522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</a:t>
          </a:r>
          <a:r>
            <a:rPr lang="en-US" sz="1100" b="1" baseline="0"/>
            <a:t> INDEX(</a:t>
          </a:r>
          <a:r>
            <a:rPr lang="en-US" sz="1100" b="0" baseline="0"/>
            <a:t>array, row number</a:t>
          </a:r>
          <a:r>
            <a:rPr lang="en-US" sz="1100" b="1" baseline="0"/>
            <a:t>)</a:t>
          </a:r>
        </a:p>
        <a:p>
          <a:r>
            <a:rPr lang="en-US" sz="1100"/>
            <a:t>* array = range</a:t>
          </a:r>
        </a:p>
        <a:p>
          <a:r>
            <a:rPr lang="en-US" sz="1100" baseline="0"/>
            <a:t>   &gt; Range should be the column in which you are looking for the value.</a:t>
          </a:r>
        </a:p>
        <a:p>
          <a:endParaRPr lang="en-US" sz="1100" baseline="0"/>
        </a:p>
        <a:p>
          <a:r>
            <a:rPr lang="en-US" sz="1100" baseline="0"/>
            <a:t>* row number</a:t>
          </a:r>
        </a:p>
        <a:p>
          <a:r>
            <a:rPr lang="en-US" sz="1100" baseline="0"/>
            <a:t>   &gt; Row number should be from the selected Range.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2. Match(</a:t>
          </a:r>
          <a:r>
            <a:rPr lang="en-US" sz="1100" b="0" baseline="0"/>
            <a:t>lookup value, lookup array, 0 {Exact Match}</a:t>
          </a:r>
          <a:r>
            <a:rPr lang="en-US" sz="1100" b="1" baseline="0"/>
            <a:t>)</a:t>
          </a:r>
          <a:endParaRPr lang="en-US" sz="1100" b="0" baseline="0"/>
        </a:p>
        <a:p>
          <a:r>
            <a:rPr lang="en-US" sz="1100" b="1" baseline="0"/>
            <a:t>* </a:t>
          </a:r>
          <a:r>
            <a:rPr lang="en-US" sz="1100" b="0" baseline="0"/>
            <a:t>lookup array should be the column/range that contains the selected lookup value.</a:t>
          </a:r>
        </a:p>
        <a:p>
          <a:endParaRPr lang="en-US" sz="1100" b="0" baseline="0"/>
        </a:p>
        <a:p>
          <a:r>
            <a:rPr lang="en-US" sz="1100" b="0" baseline="0"/>
            <a:t>* The last aurgument can either be 1, 0, -1</a:t>
          </a:r>
        </a:p>
        <a:p>
          <a:r>
            <a:rPr lang="en-US" sz="1100" b="0" baseline="0"/>
            <a:t>    &gt; 1 = Less Than,</a:t>
          </a:r>
        </a:p>
        <a:p>
          <a:r>
            <a:rPr lang="en-US" sz="1100" b="0" baseline="0"/>
            <a:t>    &gt; 0 = Exact Match,</a:t>
          </a:r>
        </a:p>
        <a:p>
          <a:r>
            <a:rPr lang="en-US" sz="1100" b="0" baseline="0"/>
            <a:t>    &gt; -1 = Greater Than</a:t>
          </a:r>
        </a:p>
        <a:p>
          <a:endParaRPr lang="en-US" sz="1100" b="0" baseline="0"/>
        </a:p>
        <a:p>
          <a:r>
            <a:rPr lang="en-US" sz="1100" b="0" baseline="0"/>
            <a:t>3. </a:t>
          </a:r>
          <a:r>
            <a:rPr lang="en-US" sz="1100" b="1" baseline="0"/>
            <a:t>=INDEX(</a:t>
          </a:r>
          <a:r>
            <a:rPr lang="en-US" sz="1100" b="0" baseline="0"/>
            <a:t>array, </a:t>
          </a:r>
          <a:r>
            <a:rPr lang="en-US" sz="1100" b="1" baseline="0"/>
            <a:t>MATCH(</a:t>
          </a:r>
          <a:r>
            <a:rPr lang="en-US" sz="1100" b="0" baseline="0"/>
            <a:t>lookup_value, Lookup_array, 0</a:t>
          </a:r>
          <a:r>
            <a:rPr lang="en-US" sz="1100" b="1" baseline="0"/>
            <a:t>))</a:t>
          </a:r>
        </a:p>
        <a:p>
          <a:r>
            <a:rPr lang="en-US" sz="1100" b="0" baseline="0"/>
            <a:t>* This fromula combination gives a flexible lookup.</a:t>
          </a:r>
        </a:p>
      </xdr:txBody>
    </xdr:sp>
    <xdr:clientData/>
  </xdr:twoCellAnchor>
  <xdr:twoCellAnchor editAs="oneCell">
    <xdr:from>
      <xdr:col>5</xdr:col>
      <xdr:colOff>66675</xdr:colOff>
      <xdr:row>0</xdr:row>
      <xdr:rowOff>9525</xdr:rowOff>
    </xdr:from>
    <xdr:to>
      <xdr:col>5</xdr:col>
      <xdr:colOff>429078</xdr:colOff>
      <xdr:row>1</xdr:row>
      <xdr:rowOff>0</xdr:rowOff>
    </xdr:to>
    <xdr:pic>
      <xdr:nvPicPr>
        <xdr:cNvPr id="5" name="Graphic 4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C693F25A-3863-4B7B-9B73-8CC1C457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33925" y="9525"/>
          <a:ext cx="362403" cy="371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0</xdr:row>
      <xdr:rowOff>47625</xdr:rowOff>
    </xdr:from>
    <xdr:to>
      <xdr:col>4</xdr:col>
      <xdr:colOff>467178</xdr:colOff>
      <xdr:row>1</xdr:row>
      <xdr:rowOff>9525</xdr:rowOff>
    </xdr:to>
    <xdr:pic>
      <xdr:nvPicPr>
        <xdr:cNvPr id="4" name="Graphic 3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FB1D140C-82E1-4E0F-949A-57436E356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91075" y="47625"/>
          <a:ext cx="362403" cy="371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0</xdr:row>
      <xdr:rowOff>57150</xdr:rowOff>
    </xdr:from>
    <xdr:to>
      <xdr:col>4</xdr:col>
      <xdr:colOff>1162503</xdr:colOff>
      <xdr:row>1</xdr:row>
      <xdr:rowOff>19050</xdr:rowOff>
    </xdr:to>
    <xdr:pic>
      <xdr:nvPicPr>
        <xdr:cNvPr id="4" name="Graphic 3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2430CD5C-52F5-45B1-A456-7BFB5E1D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114800" y="57150"/>
          <a:ext cx="362403" cy="371475"/>
        </a:xfrm>
        <a:prstGeom prst="rect">
          <a:avLst/>
        </a:prstGeom>
      </xdr:spPr>
    </xdr:pic>
    <xdr:clientData/>
  </xdr:twoCellAnchor>
  <xdr:twoCellAnchor>
    <xdr:from>
      <xdr:col>9</xdr:col>
      <xdr:colOff>171449</xdr:colOff>
      <xdr:row>4</xdr:row>
      <xdr:rowOff>38100</xdr:rowOff>
    </xdr:from>
    <xdr:to>
      <xdr:col>12</xdr:col>
      <xdr:colOff>504824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0E7B4A-456A-0EEB-8428-6CF6E34AAAC9}"/>
            </a:ext>
          </a:extLst>
        </xdr:cNvPr>
        <xdr:cNvSpPr txBox="1"/>
      </xdr:nvSpPr>
      <xdr:spPr>
        <a:xfrm>
          <a:off x="10734674" y="1028700"/>
          <a:ext cx="2162175" cy="914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 Alt + A</a:t>
          </a:r>
          <a:r>
            <a:rPr lang="en-US" sz="1100" baseline="0"/>
            <a:t> + SS</a:t>
          </a:r>
        </a:p>
        <a:p>
          <a:r>
            <a:rPr lang="en-US" sz="1100" baseline="0"/>
            <a:t>(Custom Sort)</a:t>
          </a:r>
        </a:p>
        <a:p>
          <a:endParaRPr lang="en-US" sz="1100" baseline="0"/>
        </a:p>
        <a:p>
          <a:r>
            <a:rPr lang="en-US" sz="1100" baseline="0"/>
            <a:t>* Data &gt; Sort &amp; Filter Group &gt; Sort</a:t>
          </a:r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104775</xdr:rowOff>
    </xdr:from>
    <xdr:to>
      <xdr:col>6</xdr:col>
      <xdr:colOff>219528</xdr:colOff>
      <xdr:row>0</xdr:row>
      <xdr:rowOff>485774</xdr:rowOff>
    </xdr:to>
    <xdr:pic>
      <xdr:nvPicPr>
        <xdr:cNvPr id="2" name="Graphic 1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96F6EEC9-EE90-4932-872E-A957D99F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648075" y="104775"/>
          <a:ext cx="362403" cy="380999"/>
        </a:xfrm>
        <a:prstGeom prst="rect">
          <a:avLst/>
        </a:prstGeom>
      </xdr:spPr>
    </xdr:pic>
    <xdr:clientData/>
  </xdr:twoCellAnchor>
  <xdr:twoCellAnchor>
    <xdr:from>
      <xdr:col>9</xdr:col>
      <xdr:colOff>304800</xdr:colOff>
      <xdr:row>2</xdr:row>
      <xdr:rowOff>142875</xdr:rowOff>
    </xdr:from>
    <xdr:to>
      <xdr:col>12</xdr:col>
      <xdr:colOff>295275</xdr:colOff>
      <xdr:row>11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B46C92-B0B0-5BA7-9C95-C79315AEDA49}"/>
            </a:ext>
          </a:extLst>
        </xdr:cNvPr>
        <xdr:cNvSpPr txBox="1"/>
      </xdr:nvSpPr>
      <xdr:spPr>
        <a:xfrm>
          <a:off x="10306050" y="828675"/>
          <a:ext cx="1819275" cy="1695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Create a custom</a:t>
          </a:r>
          <a:r>
            <a:rPr lang="en-US" sz="1100" baseline="0"/>
            <a:t> list</a:t>
          </a:r>
        </a:p>
        <a:p>
          <a:r>
            <a:rPr lang="en-US" sz="1100" baseline="0"/>
            <a:t>* File &gt; Options &gt; Advanced &gt; Custom List</a:t>
          </a:r>
        </a:p>
        <a:p>
          <a:endParaRPr lang="en-US" sz="1100" baseline="0"/>
        </a:p>
        <a:p>
          <a:r>
            <a:rPr lang="en-US" sz="1100" baseline="0"/>
            <a:t>2. Custom Sort </a:t>
          </a:r>
        </a:p>
        <a:p>
          <a:r>
            <a:rPr lang="en-US" sz="1100" baseline="0"/>
            <a:t>* In the order part, use custom list and select the custom list u created.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05C02-330B-48F8-B6A8-5B35452608DB}" name="Apps_List" displayName="Apps_List" ref="A5:D17" totalsRowShown="0" headerRowDxfId="7" headerRowBorderDxfId="6" tableBorderDxfId="5" totalsRowBorderDxfId="4">
  <autoFilter ref="A5:D17" xr:uid="{BFD05C02-330B-48F8-B6A8-5B35452608DB}"/>
  <tableColumns count="4">
    <tableColumn id="1" xr3:uid="{2E82CC21-8628-4427-ACF4-96BBEF52D30E}" name="Category" dataDxfId="3"/>
    <tableColumn id="2" xr3:uid="{29CD1AAA-BAC0-4030-94EC-2A50E84528A8}" name="App" dataDxfId="2"/>
    <tableColumn id="3" xr3:uid="{FBDEAE5A-B57C-49DF-A00A-CBC345ACB5E7}" name="Revenue" dataDxfId="1" dataCellStyle="Currency"/>
    <tableColumn id="4" xr3:uid="{5BBA767C-626F-467B-B4F3-6F9AD008FE4B}" name="Profit" dataDxfId="0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xternalRevisionFiles\Intermediate-Exercise01.xlsx" TargetMode="External"/><Relationship Id="rId13" Type="http://schemas.openxmlformats.org/officeDocument/2006/relationships/hyperlink" Target="ExternalRevisionFiles\INDIRECT_function.xlsx" TargetMode="External"/><Relationship Id="rId18" Type="http://schemas.openxmlformats.org/officeDocument/2006/relationships/hyperlink" Target="ExternalRevisionFiles\Cleaning_Messy_Data.xlsx" TargetMode="External"/><Relationship Id="rId3" Type="http://schemas.openxmlformats.org/officeDocument/2006/relationships/hyperlink" Target="ExternalRevisionFiles\Exercise04.xlsx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ExternalRevisionFiles\Conditional-IFs-count-sum-average-ifs.xlsx" TargetMode="External"/><Relationship Id="rId12" Type="http://schemas.openxmlformats.org/officeDocument/2006/relationships/hyperlink" Target="ExternalRevisionFiles\OFFSET_Function.xlsx" TargetMode="External"/><Relationship Id="rId17" Type="http://schemas.openxmlformats.org/officeDocument/2006/relationships/hyperlink" Target="ExternalRevisionFiles\VSTACK-function.xlsx" TargetMode="External"/><Relationship Id="rId2" Type="http://schemas.openxmlformats.org/officeDocument/2006/relationships/hyperlink" Target="ExternalRevisionFiles\Excersixe03.xlsx" TargetMode="External"/><Relationship Id="rId16" Type="http://schemas.openxmlformats.org/officeDocument/2006/relationships/hyperlink" Target="ExternalRevisionFiles\Filter-with-criteria.xlsx" TargetMode="External"/><Relationship Id="rId20" Type="http://schemas.openxmlformats.org/officeDocument/2006/relationships/hyperlink" Target="ExternalRevisionFiles\Error_handling.xlsx" TargetMode="External"/><Relationship Id="rId1" Type="http://schemas.openxmlformats.org/officeDocument/2006/relationships/hyperlink" Target="ExternalRevisionFiles\adding-navigation-button.xlsx" TargetMode="External"/><Relationship Id="rId6" Type="http://schemas.openxmlformats.org/officeDocument/2006/relationships/hyperlink" Target="ExternalRevisionFiles\the-ifs-function.xlsx" TargetMode="External"/><Relationship Id="rId11" Type="http://schemas.openxmlformats.org/officeDocument/2006/relationships/hyperlink" Target="ExternalRevisionFiles\HLOOKUP.xlsx" TargetMode="External"/><Relationship Id="rId5" Type="http://schemas.openxmlformats.org/officeDocument/2006/relationships/hyperlink" Target="ExternalRevisionFiles\logical-functions.xlsx" TargetMode="External"/><Relationship Id="rId15" Type="http://schemas.openxmlformats.org/officeDocument/2006/relationships/hyperlink" Target="ExternalRevisionFiles\SORT_SORTBY_Functions.xlsx" TargetMode="External"/><Relationship Id="rId10" Type="http://schemas.openxmlformats.org/officeDocument/2006/relationships/hyperlink" Target="ExternalRevisionFiles\VLOOKUKP-approx-match.xlsx" TargetMode="External"/><Relationship Id="rId19" Type="http://schemas.openxmlformats.org/officeDocument/2006/relationships/hyperlink" Target="ExternalRevisionFiles\Office_Work_Simulation.xlsx" TargetMode="External"/><Relationship Id="rId4" Type="http://schemas.openxmlformats.org/officeDocument/2006/relationships/hyperlink" Target="ExternalRevisionFiles\Exercise05.xlsx" TargetMode="External"/><Relationship Id="rId9" Type="http://schemas.openxmlformats.org/officeDocument/2006/relationships/hyperlink" Target="ExternalRevisionFiles\VLOOKUP-exact-match.xlsx" TargetMode="External"/><Relationship Id="rId14" Type="http://schemas.openxmlformats.org/officeDocument/2006/relationships/hyperlink" Target="ExternalRevisionFiles\Intermediate-Exercise0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n@companyx.com" TargetMode="External"/><Relationship Id="rId13" Type="http://schemas.openxmlformats.org/officeDocument/2006/relationships/hyperlink" Target="mailto:pc@companyx.com" TargetMode="External"/><Relationship Id="rId3" Type="http://schemas.openxmlformats.org/officeDocument/2006/relationships/hyperlink" Target="mailto:bl@companyx.com" TargetMode="External"/><Relationship Id="rId7" Type="http://schemas.openxmlformats.org/officeDocument/2006/relationships/hyperlink" Target="mailto:dp@companyx.com" TargetMode="External"/><Relationship Id="rId12" Type="http://schemas.openxmlformats.org/officeDocument/2006/relationships/hyperlink" Target="mailto:lm@companyx.com" TargetMode="External"/><Relationship Id="rId2" Type="http://schemas.openxmlformats.org/officeDocument/2006/relationships/hyperlink" Target="mailto:al@companyx.com" TargetMode="External"/><Relationship Id="rId1" Type="http://schemas.openxmlformats.org/officeDocument/2006/relationships/hyperlink" Target="mailto:da@companyx.com" TargetMode="External"/><Relationship Id="rId6" Type="http://schemas.openxmlformats.org/officeDocument/2006/relationships/hyperlink" Target="mailto:ms@companyx.com" TargetMode="External"/><Relationship Id="rId11" Type="http://schemas.openxmlformats.org/officeDocument/2006/relationships/hyperlink" Target="mailto:kw@companyx.com" TargetMode="External"/><Relationship Id="rId5" Type="http://schemas.openxmlformats.org/officeDocument/2006/relationships/hyperlink" Target="mailto:og@companyx.com" TargetMode="External"/><Relationship Id="rId10" Type="http://schemas.openxmlformats.org/officeDocument/2006/relationships/hyperlink" Target="mailto:jt@companyx.com" TargetMode="External"/><Relationship Id="rId4" Type="http://schemas.openxmlformats.org/officeDocument/2006/relationships/hyperlink" Target="mailto:sj@companyx.com" TargetMode="External"/><Relationship Id="rId9" Type="http://schemas.openxmlformats.org/officeDocument/2006/relationships/hyperlink" Target="mailto:mw@companyx.com" TargetMode="External"/><Relationship Id="rId1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31" zoomScaleNormal="100" workbookViewId="0">
      <selection activeCell="C39" sqref="C39"/>
    </sheetView>
  </sheetViews>
  <sheetFormatPr defaultRowHeight="15" x14ac:dyDescent="0.25"/>
  <cols>
    <col min="1" max="1" width="53.28515625" bestFit="1" customWidth="1"/>
    <col min="2" max="2" width="13.85546875" customWidth="1"/>
    <col min="3" max="3" width="30.28515625" customWidth="1"/>
    <col min="4" max="4" width="13.5703125" customWidth="1"/>
    <col min="5" max="5" width="8.7109375" customWidth="1"/>
    <col min="6" max="6" width="22.140625" customWidth="1"/>
    <col min="7" max="7" width="11.140625" customWidth="1"/>
  </cols>
  <sheetData>
    <row r="1" spans="1:7" s="95" customFormat="1" ht="22.5" customHeight="1" thickBot="1" x14ac:dyDescent="0.35">
      <c r="A1" s="95" t="s">
        <v>0</v>
      </c>
    </row>
    <row r="2" spans="1:7" ht="15.75" thickTop="1" x14ac:dyDescent="0.25"/>
    <row r="3" spans="1:7" x14ac:dyDescent="0.25">
      <c r="A3" s="3" t="s">
        <v>1</v>
      </c>
      <c r="B3" s="3" t="s">
        <v>2</v>
      </c>
      <c r="C3" s="3" t="s">
        <v>3</v>
      </c>
      <c r="D3" s="3" t="s">
        <v>478</v>
      </c>
      <c r="G3" s="91" t="s">
        <v>370</v>
      </c>
    </row>
    <row r="4" spans="1:7" x14ac:dyDescent="0.25">
      <c r="A4" s="2" t="s">
        <v>52</v>
      </c>
      <c r="B4" s="2" t="s">
        <v>5</v>
      </c>
      <c r="C4" s="10" t="s">
        <v>53</v>
      </c>
      <c r="D4" s="2" t="s">
        <v>477</v>
      </c>
      <c r="F4" s="88" t="s">
        <v>367</v>
      </c>
      <c r="G4" s="6">
        <f>COUNTA(A4:A300)</f>
        <v>36</v>
      </c>
    </row>
    <row r="5" spans="1:7" x14ac:dyDescent="0.25">
      <c r="A5" s="2" t="s">
        <v>4</v>
      </c>
      <c r="B5" s="2" t="s">
        <v>5</v>
      </c>
      <c r="C5" s="10" t="s">
        <v>94</v>
      </c>
      <c r="D5" s="2" t="str">
        <f t="shared" ref="D5:D10" si="0">$D$4</f>
        <v>Internal</v>
      </c>
      <c r="F5" s="89" t="s">
        <v>369</v>
      </c>
      <c r="G5" s="6">
        <f>COUNTIF(D4:D300, "Internal")</f>
        <v>16</v>
      </c>
    </row>
    <row r="6" spans="1:7" x14ac:dyDescent="0.25">
      <c r="A6" s="2" t="s">
        <v>6</v>
      </c>
      <c r="B6" s="2" t="s">
        <v>5</v>
      </c>
      <c r="C6" s="10" t="s">
        <v>172</v>
      </c>
      <c r="D6" s="2" t="str">
        <f t="shared" si="0"/>
        <v>Internal</v>
      </c>
      <c r="F6" s="89" t="s">
        <v>368</v>
      </c>
      <c r="G6" s="6">
        <f>COUNTIF(D4:D300, "External")</f>
        <v>20</v>
      </c>
    </row>
    <row r="7" spans="1:7" x14ac:dyDescent="0.25">
      <c r="A7" s="2" t="s">
        <v>7</v>
      </c>
      <c r="B7" s="2" t="s">
        <v>5</v>
      </c>
      <c r="C7" s="10" t="s">
        <v>173</v>
      </c>
      <c r="D7" s="2" t="str">
        <f t="shared" si="0"/>
        <v>Internal</v>
      </c>
      <c r="F7" s="89" t="s">
        <v>5</v>
      </c>
      <c r="G7" s="6">
        <f>COUNTIF(B4:B300, "Beginner")</f>
        <v>10</v>
      </c>
    </row>
    <row r="8" spans="1:7" x14ac:dyDescent="0.25">
      <c r="A8" s="2" t="s">
        <v>8</v>
      </c>
      <c r="B8" s="2" t="s">
        <v>5</v>
      </c>
      <c r="C8" s="10" t="s">
        <v>174</v>
      </c>
      <c r="D8" s="2" t="str">
        <f t="shared" si="0"/>
        <v>Internal</v>
      </c>
      <c r="F8" s="90" t="s">
        <v>15</v>
      </c>
      <c r="G8" s="6">
        <f>COUNTIF(B4:B300, "Intermediate")</f>
        <v>26</v>
      </c>
    </row>
    <row r="9" spans="1:7" x14ac:dyDescent="0.25">
      <c r="A9" s="2" t="s">
        <v>9</v>
      </c>
      <c r="B9" s="2" t="s">
        <v>5</v>
      </c>
      <c r="C9" s="10" t="s">
        <v>205</v>
      </c>
      <c r="D9" s="2" t="str">
        <f t="shared" si="0"/>
        <v>Internal</v>
      </c>
    </row>
    <row r="10" spans="1:7" x14ac:dyDescent="0.25">
      <c r="A10" s="2" t="s">
        <v>10</v>
      </c>
      <c r="B10" s="2" t="s">
        <v>5</v>
      </c>
      <c r="C10" s="10" t="s">
        <v>175</v>
      </c>
      <c r="D10" s="2" t="str">
        <f t="shared" si="0"/>
        <v>Internal</v>
      </c>
    </row>
    <row r="11" spans="1:7" x14ac:dyDescent="0.25">
      <c r="A11" s="2" t="s">
        <v>11</v>
      </c>
      <c r="B11" s="2" t="s">
        <v>5</v>
      </c>
      <c r="C11" s="10" t="s">
        <v>11</v>
      </c>
      <c r="D11" s="2" t="s">
        <v>324</v>
      </c>
    </row>
    <row r="12" spans="1:7" x14ac:dyDescent="0.25">
      <c r="A12" s="2" t="s">
        <v>12</v>
      </c>
      <c r="B12" s="2" t="s">
        <v>5</v>
      </c>
      <c r="C12" s="10" t="s">
        <v>12</v>
      </c>
      <c r="D12" s="2" t="s">
        <v>324</v>
      </c>
    </row>
    <row r="13" spans="1:7" x14ac:dyDescent="0.25">
      <c r="A13" s="2" t="s">
        <v>13</v>
      </c>
      <c r="B13" s="2" t="s">
        <v>5</v>
      </c>
      <c r="C13" s="10" t="s">
        <v>13</v>
      </c>
      <c r="D13" s="2" t="s">
        <v>324</v>
      </c>
    </row>
    <row r="14" spans="1:7" x14ac:dyDescent="0.25">
      <c r="A14" s="2" t="s">
        <v>14</v>
      </c>
      <c r="B14" s="2" t="s">
        <v>15</v>
      </c>
      <c r="C14" s="10" t="s">
        <v>231</v>
      </c>
      <c r="D14" s="2" t="s">
        <v>324</v>
      </c>
    </row>
    <row r="15" spans="1:7" x14ac:dyDescent="0.25">
      <c r="A15" s="2" t="s">
        <v>16</v>
      </c>
      <c r="B15" s="2" t="s">
        <v>15</v>
      </c>
      <c r="C15" s="10" t="s">
        <v>232</v>
      </c>
      <c r="D15" s="2" t="str">
        <f t="shared" ref="D15:D16" si="1">$D$4</f>
        <v>Internal</v>
      </c>
    </row>
    <row r="16" spans="1:7" x14ac:dyDescent="0.25">
      <c r="A16" s="2" t="s">
        <v>17</v>
      </c>
      <c r="B16" s="2" t="s">
        <v>15</v>
      </c>
      <c r="C16" s="10" t="s">
        <v>271</v>
      </c>
      <c r="D16" s="2" t="str">
        <f t="shared" si="1"/>
        <v>Internal</v>
      </c>
    </row>
    <row r="17" spans="1:4" x14ac:dyDescent="0.25">
      <c r="A17" s="2" t="s">
        <v>18</v>
      </c>
      <c r="B17" s="2" t="s">
        <v>15</v>
      </c>
      <c r="C17" s="10" t="s">
        <v>176</v>
      </c>
      <c r="D17" s="2" t="s">
        <v>324</v>
      </c>
    </row>
    <row r="18" spans="1:4" x14ac:dyDescent="0.25">
      <c r="A18" s="2" t="s">
        <v>20</v>
      </c>
      <c r="B18" s="2" t="s">
        <v>15</v>
      </c>
      <c r="C18" s="10" t="s">
        <v>272</v>
      </c>
      <c r="D18" s="2" t="str">
        <f t="shared" ref="D18:D19" si="2">$D$4</f>
        <v>Internal</v>
      </c>
    </row>
    <row r="19" spans="1:4" x14ac:dyDescent="0.25">
      <c r="A19" s="2" t="s">
        <v>19</v>
      </c>
      <c r="B19" s="2" t="s">
        <v>15</v>
      </c>
      <c r="C19" s="10" t="s">
        <v>273</v>
      </c>
      <c r="D19" s="2" t="str">
        <f t="shared" si="2"/>
        <v>Internal</v>
      </c>
    </row>
    <row r="20" spans="1:4" x14ac:dyDescent="0.25">
      <c r="A20" s="2" t="s">
        <v>320</v>
      </c>
      <c r="B20" s="2" t="s">
        <v>15</v>
      </c>
      <c r="C20" s="10" t="s">
        <v>321</v>
      </c>
      <c r="D20" s="2" t="s">
        <v>324</v>
      </c>
    </row>
    <row r="21" spans="1:4" x14ac:dyDescent="0.25">
      <c r="A21" s="2" t="s">
        <v>322</v>
      </c>
      <c r="B21" s="2" t="s">
        <v>15</v>
      </c>
      <c r="C21" s="10" t="s">
        <v>323</v>
      </c>
      <c r="D21" s="2" t="s">
        <v>324</v>
      </c>
    </row>
    <row r="22" spans="1:4" x14ac:dyDescent="0.25">
      <c r="A22" s="2" t="s">
        <v>326</v>
      </c>
      <c r="B22" s="2" t="s">
        <v>15</v>
      </c>
      <c r="C22" s="70" t="s">
        <v>327</v>
      </c>
      <c r="D22" s="2" t="str">
        <f>$D$4</f>
        <v>Internal</v>
      </c>
    </row>
    <row r="23" spans="1:4" x14ac:dyDescent="0.25">
      <c r="A23" s="2" t="s">
        <v>328</v>
      </c>
      <c r="B23" s="2" t="s">
        <v>15</v>
      </c>
      <c r="C23" s="70" t="s">
        <v>329</v>
      </c>
      <c r="D23" s="2" t="s">
        <v>324</v>
      </c>
    </row>
    <row r="24" spans="1:4" x14ac:dyDescent="0.25">
      <c r="A24" s="2" t="s">
        <v>330</v>
      </c>
      <c r="B24" s="2" t="s">
        <v>15</v>
      </c>
      <c r="C24" s="70" t="s">
        <v>331</v>
      </c>
      <c r="D24" s="2" t="s">
        <v>324</v>
      </c>
    </row>
    <row r="25" spans="1:4" x14ac:dyDescent="0.25">
      <c r="A25" s="2" t="s">
        <v>332</v>
      </c>
      <c r="B25" s="2" t="s">
        <v>15</v>
      </c>
      <c r="C25" s="70" t="s">
        <v>333</v>
      </c>
      <c r="D25" s="2" t="s">
        <v>324</v>
      </c>
    </row>
    <row r="26" spans="1:4" x14ac:dyDescent="0.25">
      <c r="A26" s="2" t="s">
        <v>334</v>
      </c>
      <c r="B26" s="2" t="s">
        <v>15</v>
      </c>
      <c r="C26" s="70" t="s">
        <v>335</v>
      </c>
      <c r="D26" s="2" t="s">
        <v>324</v>
      </c>
    </row>
    <row r="27" spans="1:4" x14ac:dyDescent="0.25">
      <c r="A27" s="2" t="s">
        <v>336</v>
      </c>
      <c r="B27" s="2" t="s">
        <v>15</v>
      </c>
      <c r="C27" s="70" t="s">
        <v>337</v>
      </c>
      <c r="D27" s="2" t="str">
        <f t="shared" ref="D27:D28" si="3">$D$4</f>
        <v>Internal</v>
      </c>
    </row>
    <row r="28" spans="1:4" x14ac:dyDescent="0.25">
      <c r="A28" s="2" t="s">
        <v>359</v>
      </c>
      <c r="B28" s="2" t="s">
        <v>15</v>
      </c>
      <c r="C28" s="70" t="s">
        <v>360</v>
      </c>
      <c r="D28" s="2" t="str">
        <f t="shared" si="3"/>
        <v>Internal</v>
      </c>
    </row>
    <row r="29" spans="1:4" x14ac:dyDescent="0.25">
      <c r="A29" s="2" t="s">
        <v>363</v>
      </c>
      <c r="B29" s="2" t="s">
        <v>15</v>
      </c>
      <c r="C29" s="70" t="s">
        <v>364</v>
      </c>
      <c r="D29" s="2" t="s">
        <v>324</v>
      </c>
    </row>
    <row r="30" spans="1:4" x14ac:dyDescent="0.25">
      <c r="A30" s="2" t="s">
        <v>365</v>
      </c>
      <c r="B30" s="2" t="s">
        <v>15</v>
      </c>
      <c r="C30" s="70" t="s">
        <v>366</v>
      </c>
      <c r="D30" s="2" t="s">
        <v>324</v>
      </c>
    </row>
    <row r="31" spans="1:4" x14ac:dyDescent="0.25">
      <c r="A31" s="2" t="s">
        <v>371</v>
      </c>
      <c r="B31" s="2" t="s">
        <v>15</v>
      </c>
      <c r="C31" s="70" t="s">
        <v>372</v>
      </c>
      <c r="D31" s="2" t="s">
        <v>324</v>
      </c>
    </row>
    <row r="32" spans="1:4" x14ac:dyDescent="0.25">
      <c r="A32" s="2" t="s">
        <v>374</v>
      </c>
      <c r="B32" s="2" t="s">
        <v>15</v>
      </c>
      <c r="C32" s="70" t="s">
        <v>375</v>
      </c>
      <c r="D32" s="2" t="str">
        <f t="shared" ref="D32:D33" si="4">$D$4</f>
        <v>Internal</v>
      </c>
    </row>
    <row r="33" spans="1:4" x14ac:dyDescent="0.25">
      <c r="A33" s="2" t="s">
        <v>464</v>
      </c>
      <c r="B33" s="2" t="s">
        <v>15</v>
      </c>
      <c r="C33" s="70" t="s">
        <v>465</v>
      </c>
      <c r="D33" s="2" t="str">
        <f t="shared" si="4"/>
        <v>Internal</v>
      </c>
    </row>
    <row r="34" spans="1:4" x14ac:dyDescent="0.25">
      <c r="A34" s="2" t="s">
        <v>467</v>
      </c>
      <c r="B34" s="2" t="s">
        <v>15</v>
      </c>
      <c r="C34" s="70" t="s">
        <v>468</v>
      </c>
      <c r="D34" s="2" t="s">
        <v>324</v>
      </c>
    </row>
    <row r="35" spans="1:4" x14ac:dyDescent="0.25">
      <c r="A35" s="2" t="s">
        <v>469</v>
      </c>
      <c r="B35" s="2" t="s">
        <v>15</v>
      </c>
      <c r="C35" s="70" t="s">
        <v>470</v>
      </c>
      <c r="D35" s="2" t="s">
        <v>324</v>
      </c>
    </row>
    <row r="36" spans="1:4" x14ac:dyDescent="0.25">
      <c r="A36" s="2" t="s">
        <v>471</v>
      </c>
      <c r="B36" s="2" t="s">
        <v>15</v>
      </c>
      <c r="C36" s="70" t="s">
        <v>472</v>
      </c>
      <c r="D36" s="2" t="s">
        <v>324</v>
      </c>
    </row>
    <row r="37" spans="1:4" x14ac:dyDescent="0.25">
      <c r="A37" s="93" t="s">
        <v>473</v>
      </c>
      <c r="B37" s="93" t="s">
        <v>15</v>
      </c>
      <c r="C37" s="94" t="s">
        <v>474</v>
      </c>
      <c r="D37" s="93" t="s">
        <v>324</v>
      </c>
    </row>
    <row r="38" spans="1:4" x14ac:dyDescent="0.25">
      <c r="A38" s="93" t="s">
        <v>475</v>
      </c>
      <c r="B38" s="93" t="s">
        <v>15</v>
      </c>
      <c r="C38" s="70" t="s">
        <v>476</v>
      </c>
      <c r="D38" s="93" t="s">
        <v>324</v>
      </c>
    </row>
    <row r="39" spans="1:4" x14ac:dyDescent="0.25">
      <c r="A39" s="2" t="s">
        <v>479</v>
      </c>
      <c r="B39" s="2" t="s">
        <v>15</v>
      </c>
      <c r="C39" s="70" t="s">
        <v>480</v>
      </c>
      <c r="D39" s="2" t="s">
        <v>324</v>
      </c>
    </row>
  </sheetData>
  <mergeCells count="1">
    <mergeCell ref="A1:XFD1"/>
  </mergeCells>
  <phoneticPr fontId="5" type="noConversion"/>
  <hyperlinks>
    <hyperlink ref="C4" location="Absolute_Relative_Referencing!A1" display="Absolute_Relative_Referencing" xr:uid="{EB518C27-F5AB-4AC4-996A-01C80D973BF0}"/>
    <hyperlink ref="C5" location="Autosum_Autofill!A1" display="Autosum_Autofill" xr:uid="{12B4F713-10E2-4F5D-80ED-332A9A90E901}"/>
    <hyperlink ref="C6" location="Flash_Fill!A1" display="Flash_Fill" xr:uid="{F2F8321F-42E7-4526-A161-020FE9660AA9}"/>
    <hyperlink ref="C7" location="Named_Ranges!A1" display="Named_Ranges" xr:uid="{DA1CE400-DDF0-412B-9250-675533C887A2}"/>
    <hyperlink ref="C8" location="Number_Formatting!A1" display="Number_Formatting" xr:uid="{E8665E35-A6BE-48E1-BA75-782DD9C5836D}"/>
    <hyperlink ref="C9" location="Date_Time_Format!A1" display="Date_Time_Formats" xr:uid="{373E0066-9F0D-4EC9-8F35-4533151DB733}"/>
    <hyperlink ref="C10" location="Format_Painter!A1" display="Format_Painter" xr:uid="{F4AD7F61-638F-401A-B901-A825E097A143}"/>
    <hyperlink ref="C14" r:id="rId1" xr:uid="{271419CE-0054-40FC-B6F0-A6A8E6740559}"/>
    <hyperlink ref="C15" location="Readability_Cell_Styles!A1" display="Readability_Cell_Styles" xr:uid="{1C9E22A6-E0AA-40B6-8620-E2D869286CF2}"/>
    <hyperlink ref="C16" location="List_Lock_Cells!A1" display="List_Lock_Cells" xr:uid="{27F27117-7A0D-4CAA-8D50-A94E655CDA14}"/>
    <hyperlink ref="C11" r:id="rId2" xr:uid="{19DC0BBF-5CEA-4D5D-9D00-4C2F5197F535}"/>
    <hyperlink ref="C12" r:id="rId3" xr:uid="{3567C2BF-09AD-44C0-B01A-66BCA7890333}"/>
    <hyperlink ref="C13" r:id="rId4" xr:uid="{6724FF56-55A6-4CAF-92E7-93A5D1B1C777}"/>
    <hyperlink ref="C17" r:id="rId5" xr:uid="{6D92DE1A-99E1-4205-A393-E046B5077EB1}"/>
    <hyperlink ref="C18" location="The_IF_Function!A1" display="The_IF_Function" xr:uid="{D09E83B5-81F1-4338-8103-4E1F3D0E5153}"/>
    <hyperlink ref="C19" location="Nested_IF!A1" display="Nested_Ifs" xr:uid="{74A1FEFE-1673-4C10-AFC0-B0B64654D80C}"/>
    <hyperlink ref="C20" r:id="rId6" xr:uid="{E36137E9-5D9A-4D0A-AEDD-4415B57A0506}"/>
    <hyperlink ref="C21" r:id="rId7" xr:uid="{334F432F-05E3-477B-A73C-AA28F68CB2EA}"/>
    <hyperlink ref="C22" location="Error_Functions!A1" display="Error_Functions" xr:uid="{74AA37DC-C320-4426-9803-73C31832DA56}"/>
    <hyperlink ref="C23" r:id="rId8" xr:uid="{7C549015-5484-46E3-B2F8-B8F8A252239C}"/>
    <hyperlink ref="C24" r:id="rId9" xr:uid="{43DBC5DB-E0B9-431F-8562-A65354E849DC}"/>
    <hyperlink ref="C25" r:id="rId10" xr:uid="{EB9F23B5-DBCC-45A8-9C01-41D51676EA36}"/>
    <hyperlink ref="C26" r:id="rId11" xr:uid="{A3C9BB5F-CA2B-4586-B364-F67E9694D2CD}"/>
    <hyperlink ref="C27" location="INDEX_and_MATCH!A1" display="INDEX_and_MATCH" xr:uid="{35BA0ABD-7FAC-4352-9511-06A1C8CFB047}"/>
    <hyperlink ref="C28" location="XLOOKUP_and_XMATCH!A1" display="XLOOKUP_and_XMATCH" xr:uid="{96A3F7E8-9969-4B1B-AB1D-25BD693D2144}"/>
    <hyperlink ref="C29" r:id="rId12" xr:uid="{1AEE8FB5-4198-4694-9081-A7A503470F76}"/>
    <hyperlink ref="C30" r:id="rId13" xr:uid="{E3CA2777-DB1E-4A51-A1A6-FC044697FB7F}"/>
    <hyperlink ref="C31" r:id="rId14" xr:uid="{CA87077C-52BD-4F66-8FB1-3107181E70F7}"/>
    <hyperlink ref="C32" location="Multiple_Sort!A1" display="Multiple_Sort" xr:uid="{F99A0040-87C2-46F7-ACEE-65B3514B4C1B}"/>
    <hyperlink ref="C33" location="Custom_List_Sorting!A1" display="Custom_List_Sorting" xr:uid="{ED6E72C4-8FE9-4CF0-8FD8-8C128BCB1E31}"/>
    <hyperlink ref="C34" r:id="rId15" xr:uid="{08744920-AB05-4F90-B78A-61647063A62E}"/>
    <hyperlink ref="C35" r:id="rId16" xr:uid="{439F9D13-511D-42DC-940F-2B7DC470CB30}"/>
    <hyperlink ref="C36" r:id="rId17" xr:uid="{9ED297A4-AAC8-40EB-A1A4-EF338DD8D542}"/>
    <hyperlink ref="C37" r:id="rId18" xr:uid="{EC300147-AFE2-4527-9CDD-E990C19D4B94}"/>
    <hyperlink ref="C38" r:id="rId19" xr:uid="{1F94E457-581C-4648-B44E-8263D18020C7}"/>
    <hyperlink ref="C39" r:id="rId20" xr:uid="{FB3966F8-015D-4D55-8C07-99D6E6F92E9A}"/>
  </hyperlinks>
  <pageMargins left="0.7" right="0.7" top="0.75" bottom="0.75" header="0.3" footer="0.3"/>
  <pageSetup orientation="portrait" horizontalDpi="360" verticalDpi="36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CC1E-677A-47E1-9CA2-04CC2D6E12A1}">
  <dimension ref="A1:M20"/>
  <sheetViews>
    <sheetView zoomScaleNormal="100" workbookViewId="0">
      <selection sqref="A1:XFD1"/>
    </sheetView>
  </sheetViews>
  <sheetFormatPr defaultRowHeight="15" x14ac:dyDescent="0.25"/>
  <cols>
    <col min="1" max="1" width="29.42578125" bestFit="1" customWidth="1"/>
    <col min="2" max="2" width="14.42578125" bestFit="1" customWidth="1"/>
    <col min="3" max="3" width="11.140625" bestFit="1" customWidth="1"/>
    <col min="4" max="4" width="13.28515625" customWidth="1"/>
    <col min="5" max="5" width="11.140625" bestFit="1" customWidth="1"/>
    <col min="6" max="6" width="13.28515625" customWidth="1"/>
    <col min="7" max="9" width="11.140625" bestFit="1" customWidth="1"/>
    <col min="10" max="13" width="12.140625" bestFit="1" customWidth="1"/>
  </cols>
  <sheetData>
    <row r="1" spans="1:13" s="96" customFormat="1" ht="32.25" customHeight="1" thickBot="1" x14ac:dyDescent="0.3">
      <c r="A1" s="96" t="s">
        <v>21</v>
      </c>
    </row>
    <row r="2" spans="1:13" ht="15" customHeight="1" thickTop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H3" s="5" t="s">
        <v>26</v>
      </c>
      <c r="I3" s="9">
        <v>0.02</v>
      </c>
    </row>
    <row r="4" spans="1:13" x14ac:dyDescent="0.25">
      <c r="A4" s="6" t="s">
        <v>28</v>
      </c>
      <c r="B4" s="6" t="s">
        <v>29</v>
      </c>
      <c r="C4" s="6">
        <v>5</v>
      </c>
      <c r="D4" s="7">
        <v>34878</v>
      </c>
      <c r="E4" s="8">
        <f>D4*$I$3</f>
        <v>697.56000000000006</v>
      </c>
      <c r="F4" s="8">
        <f>SUM(D4,E4)</f>
        <v>35575.56</v>
      </c>
    </row>
    <row r="5" spans="1:13" x14ac:dyDescent="0.25">
      <c r="A5" s="6" t="s">
        <v>30</v>
      </c>
      <c r="B5" s="6" t="s">
        <v>29</v>
      </c>
      <c r="C5" s="6">
        <v>14</v>
      </c>
      <c r="D5" s="7">
        <v>43525</v>
      </c>
      <c r="E5" s="8">
        <f t="shared" ref="E5:E20" si="0">D5*$I$3</f>
        <v>870.5</v>
      </c>
      <c r="F5" s="8">
        <f t="shared" ref="F5:F20" si="1">SUM(D5,E5)</f>
        <v>44395.5</v>
      </c>
    </row>
    <row r="6" spans="1:13" x14ac:dyDescent="0.25">
      <c r="A6" s="6" t="s">
        <v>31</v>
      </c>
      <c r="B6" s="6" t="s">
        <v>32</v>
      </c>
      <c r="C6" s="6">
        <v>6</v>
      </c>
      <c r="D6" s="7">
        <v>49784</v>
      </c>
      <c r="E6" s="8">
        <f t="shared" si="0"/>
        <v>995.68000000000006</v>
      </c>
      <c r="F6" s="8">
        <f t="shared" si="1"/>
        <v>50779.68</v>
      </c>
    </row>
    <row r="7" spans="1:13" x14ac:dyDescent="0.25">
      <c r="A7" s="6" t="s">
        <v>33</v>
      </c>
      <c r="B7" s="6" t="s">
        <v>34</v>
      </c>
      <c r="C7" s="6">
        <v>18</v>
      </c>
      <c r="D7" s="7">
        <v>36727</v>
      </c>
      <c r="E7" s="8">
        <f t="shared" si="0"/>
        <v>734.54</v>
      </c>
      <c r="F7" s="8">
        <f t="shared" si="1"/>
        <v>37461.54</v>
      </c>
    </row>
    <row r="8" spans="1:13" x14ac:dyDescent="0.25">
      <c r="A8" s="6" t="s">
        <v>35</v>
      </c>
      <c r="B8" s="6" t="s">
        <v>29</v>
      </c>
      <c r="C8" s="6">
        <v>17</v>
      </c>
      <c r="D8" s="7">
        <v>44658</v>
      </c>
      <c r="E8" s="8">
        <f t="shared" si="0"/>
        <v>893.16</v>
      </c>
      <c r="F8" s="8">
        <f t="shared" si="1"/>
        <v>45551.16</v>
      </c>
    </row>
    <row r="9" spans="1:13" x14ac:dyDescent="0.25">
      <c r="A9" s="6" t="s">
        <v>36</v>
      </c>
      <c r="B9" s="6" t="s">
        <v>37</v>
      </c>
      <c r="C9" s="6">
        <v>13</v>
      </c>
      <c r="D9" s="7">
        <v>26191</v>
      </c>
      <c r="E9" s="8">
        <f t="shared" si="0"/>
        <v>523.82000000000005</v>
      </c>
      <c r="F9" s="8">
        <f t="shared" si="1"/>
        <v>26714.82</v>
      </c>
    </row>
    <row r="10" spans="1:13" x14ac:dyDescent="0.25">
      <c r="A10" s="6" t="s">
        <v>38</v>
      </c>
      <c r="B10" s="6" t="s">
        <v>39</v>
      </c>
      <c r="C10" s="6">
        <v>3</v>
      </c>
      <c r="D10" s="7">
        <v>63219</v>
      </c>
      <c r="E10" s="8">
        <f t="shared" si="0"/>
        <v>1264.3800000000001</v>
      </c>
      <c r="F10" s="8">
        <f t="shared" si="1"/>
        <v>64483.38</v>
      </c>
    </row>
    <row r="11" spans="1:13" x14ac:dyDescent="0.25">
      <c r="A11" s="6" t="s">
        <v>40</v>
      </c>
      <c r="B11" s="6" t="s">
        <v>29</v>
      </c>
      <c r="C11" s="6">
        <v>2</v>
      </c>
      <c r="D11" s="7">
        <v>65180</v>
      </c>
      <c r="E11" s="8">
        <f t="shared" si="0"/>
        <v>1303.6000000000001</v>
      </c>
      <c r="F11" s="8">
        <f t="shared" si="1"/>
        <v>66483.600000000006</v>
      </c>
    </row>
    <row r="12" spans="1:13" x14ac:dyDescent="0.25">
      <c r="A12" s="6" t="s">
        <v>41</v>
      </c>
      <c r="B12" s="6" t="s">
        <v>42</v>
      </c>
      <c r="C12" s="6">
        <v>12</v>
      </c>
      <c r="D12" s="7">
        <v>36115</v>
      </c>
      <c r="E12" s="8">
        <f t="shared" si="0"/>
        <v>722.30000000000007</v>
      </c>
      <c r="F12" s="8">
        <f t="shared" si="1"/>
        <v>36837.300000000003</v>
      </c>
    </row>
    <row r="13" spans="1:13" x14ac:dyDescent="0.25">
      <c r="A13" s="6" t="s">
        <v>43</v>
      </c>
      <c r="B13" s="6" t="s">
        <v>44</v>
      </c>
      <c r="C13" s="6">
        <v>7</v>
      </c>
      <c r="D13" s="7">
        <v>36576</v>
      </c>
      <c r="E13" s="8">
        <f t="shared" si="0"/>
        <v>731.52</v>
      </c>
      <c r="F13" s="8">
        <f t="shared" si="1"/>
        <v>37307.519999999997</v>
      </c>
    </row>
    <row r="14" spans="1:13" x14ac:dyDescent="0.25">
      <c r="A14" s="6" t="s">
        <v>45</v>
      </c>
      <c r="B14" s="6" t="s">
        <v>32</v>
      </c>
      <c r="C14" s="6">
        <v>3</v>
      </c>
      <c r="D14" s="7">
        <v>46832</v>
      </c>
      <c r="E14" s="8">
        <f t="shared" si="0"/>
        <v>936.64</v>
      </c>
      <c r="F14" s="8">
        <f t="shared" si="1"/>
        <v>47768.639999999999</v>
      </c>
    </row>
    <row r="15" spans="1:13" x14ac:dyDescent="0.25">
      <c r="A15" s="6" t="s">
        <v>46</v>
      </c>
      <c r="B15" s="6" t="s">
        <v>42</v>
      </c>
      <c r="C15" s="6">
        <v>5</v>
      </c>
      <c r="D15" s="7">
        <v>55211</v>
      </c>
      <c r="E15" s="8">
        <f t="shared" si="0"/>
        <v>1104.22</v>
      </c>
      <c r="F15" s="8">
        <f t="shared" si="1"/>
        <v>56315.22</v>
      </c>
    </row>
    <row r="16" spans="1:13" x14ac:dyDescent="0.25">
      <c r="A16" s="6" t="s">
        <v>47</v>
      </c>
      <c r="B16" s="6" t="s">
        <v>29</v>
      </c>
      <c r="C16" s="6">
        <v>2</v>
      </c>
      <c r="D16" s="7">
        <v>39745</v>
      </c>
      <c r="E16" s="8">
        <f t="shared" si="0"/>
        <v>794.9</v>
      </c>
      <c r="F16" s="8">
        <f t="shared" si="1"/>
        <v>40539.9</v>
      </c>
    </row>
    <row r="17" spans="1:6" x14ac:dyDescent="0.25">
      <c r="A17" s="6" t="s">
        <v>48</v>
      </c>
      <c r="B17" s="6" t="s">
        <v>34</v>
      </c>
      <c r="C17" s="6">
        <v>8</v>
      </c>
      <c r="D17" s="7">
        <v>79234</v>
      </c>
      <c r="E17" s="8">
        <f t="shared" si="0"/>
        <v>1584.68</v>
      </c>
      <c r="F17" s="8">
        <f t="shared" si="1"/>
        <v>80818.679999999993</v>
      </c>
    </row>
    <row r="18" spans="1:6" x14ac:dyDescent="0.25">
      <c r="A18" s="6" t="s">
        <v>49</v>
      </c>
      <c r="B18" s="6" t="s">
        <v>29</v>
      </c>
      <c r="C18" s="6">
        <v>12</v>
      </c>
      <c r="D18" s="7">
        <v>58293</v>
      </c>
      <c r="E18" s="8">
        <f t="shared" si="0"/>
        <v>1165.8600000000001</v>
      </c>
      <c r="F18" s="8">
        <f t="shared" si="1"/>
        <v>59458.86</v>
      </c>
    </row>
    <row r="19" spans="1:6" x14ac:dyDescent="0.25">
      <c r="A19" s="6" t="s">
        <v>50</v>
      </c>
      <c r="B19" s="6" t="s">
        <v>44</v>
      </c>
      <c r="C19" s="6">
        <v>16</v>
      </c>
      <c r="D19" s="7">
        <v>40521</v>
      </c>
      <c r="E19" s="8">
        <f t="shared" si="0"/>
        <v>810.42000000000007</v>
      </c>
      <c r="F19" s="8">
        <f t="shared" si="1"/>
        <v>41331.42</v>
      </c>
    </row>
    <row r="20" spans="1:6" x14ac:dyDescent="0.25">
      <c r="A20" s="6" t="s">
        <v>51</v>
      </c>
      <c r="B20" s="6" t="s">
        <v>39</v>
      </c>
      <c r="C20" s="6">
        <v>3</v>
      </c>
      <c r="D20" s="7">
        <v>27714</v>
      </c>
      <c r="E20" s="8">
        <f t="shared" si="0"/>
        <v>554.28</v>
      </c>
      <c r="F20" s="8">
        <f t="shared" si="1"/>
        <v>28268.28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67C9-EA94-44F9-91EF-004A2A3C3622}">
  <dimension ref="A1:E19"/>
  <sheetViews>
    <sheetView workbookViewId="0">
      <selection sqref="A1:XFD1"/>
    </sheetView>
  </sheetViews>
  <sheetFormatPr defaultRowHeight="15" x14ac:dyDescent="0.25"/>
  <cols>
    <col min="2" max="2" width="13.42578125" customWidth="1"/>
    <col min="3" max="3" width="11.5703125" customWidth="1"/>
    <col min="5" max="5" width="20.28515625" customWidth="1"/>
  </cols>
  <sheetData>
    <row r="1" spans="1:5" s="97" customFormat="1" ht="31.5" customHeight="1" thickBot="1" x14ac:dyDescent="0.3">
      <c r="A1" s="97" t="s">
        <v>4</v>
      </c>
    </row>
    <row r="2" spans="1:5" ht="15.75" thickTop="1" x14ac:dyDescent="0.25"/>
    <row r="3" spans="1:5" x14ac:dyDescent="0.25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</row>
    <row r="4" spans="1:5" x14ac:dyDescent="0.25">
      <c r="A4" s="2">
        <v>1</v>
      </c>
      <c r="B4" s="11">
        <v>46053</v>
      </c>
      <c r="C4" s="2" t="s">
        <v>59</v>
      </c>
      <c r="D4" s="2" t="s">
        <v>60</v>
      </c>
      <c r="E4" s="2" t="s">
        <v>78</v>
      </c>
    </row>
    <row r="5" spans="1:5" x14ac:dyDescent="0.25">
      <c r="A5" s="2">
        <v>2</v>
      </c>
      <c r="B5" s="11">
        <v>46081</v>
      </c>
      <c r="C5" s="2" t="s">
        <v>61</v>
      </c>
      <c r="D5" s="2" t="s">
        <v>62</v>
      </c>
      <c r="E5" s="2" t="s">
        <v>79</v>
      </c>
    </row>
    <row r="6" spans="1:5" x14ac:dyDescent="0.25">
      <c r="A6" s="2">
        <v>3</v>
      </c>
      <c r="B6" s="11">
        <v>46112</v>
      </c>
      <c r="C6" s="2" t="s">
        <v>63</v>
      </c>
      <c r="D6" s="2" t="s">
        <v>64</v>
      </c>
      <c r="E6" s="2" t="s">
        <v>80</v>
      </c>
    </row>
    <row r="7" spans="1:5" x14ac:dyDescent="0.25">
      <c r="A7" s="2">
        <v>4</v>
      </c>
      <c r="B7" s="11">
        <v>46142</v>
      </c>
      <c r="C7" s="2" t="s">
        <v>65</v>
      </c>
      <c r="D7" s="2" t="s">
        <v>66</v>
      </c>
      <c r="E7" s="2" t="s">
        <v>81</v>
      </c>
    </row>
    <row r="8" spans="1:5" x14ac:dyDescent="0.25">
      <c r="A8" s="2">
        <v>5</v>
      </c>
      <c r="B8" s="11">
        <v>46173</v>
      </c>
      <c r="C8" s="2" t="s">
        <v>67</v>
      </c>
      <c r="D8" s="2" t="s">
        <v>68</v>
      </c>
      <c r="E8" s="2" t="s">
        <v>82</v>
      </c>
    </row>
    <row r="9" spans="1:5" x14ac:dyDescent="0.25">
      <c r="A9" s="2">
        <v>6</v>
      </c>
      <c r="B9" s="11">
        <v>46203</v>
      </c>
      <c r="C9" s="2" t="s">
        <v>69</v>
      </c>
      <c r="D9" s="2" t="s">
        <v>70</v>
      </c>
      <c r="E9" s="2" t="s">
        <v>83</v>
      </c>
    </row>
    <row r="10" spans="1:5" x14ac:dyDescent="0.25">
      <c r="A10" s="2">
        <v>7</v>
      </c>
      <c r="B10" s="11">
        <v>46234</v>
      </c>
      <c r="C10" s="2" t="s">
        <v>71</v>
      </c>
      <c r="D10" s="2" t="s">
        <v>72</v>
      </c>
      <c r="E10" s="2" t="s">
        <v>84</v>
      </c>
    </row>
    <row r="11" spans="1:5" x14ac:dyDescent="0.25">
      <c r="A11" s="2">
        <v>8</v>
      </c>
      <c r="B11" s="11">
        <v>46265</v>
      </c>
      <c r="C11" s="2" t="s">
        <v>73</v>
      </c>
      <c r="D11" s="2" t="s">
        <v>60</v>
      </c>
      <c r="E11" s="2" t="s">
        <v>85</v>
      </c>
    </row>
    <row r="12" spans="1:5" x14ac:dyDescent="0.25">
      <c r="A12" s="2">
        <v>9</v>
      </c>
      <c r="B12" s="11">
        <v>46295</v>
      </c>
      <c r="C12" s="2" t="s">
        <v>74</v>
      </c>
      <c r="D12" s="2" t="s">
        <v>62</v>
      </c>
      <c r="E12" s="2" t="s">
        <v>86</v>
      </c>
    </row>
    <row r="13" spans="1:5" x14ac:dyDescent="0.25">
      <c r="A13" s="2">
        <v>10</v>
      </c>
      <c r="B13" s="11">
        <v>46326</v>
      </c>
      <c r="C13" s="2" t="s">
        <v>75</v>
      </c>
      <c r="D13" s="2" t="s">
        <v>64</v>
      </c>
      <c r="E13" s="2" t="s">
        <v>87</v>
      </c>
    </row>
    <row r="14" spans="1:5" x14ac:dyDescent="0.25">
      <c r="A14" s="2">
        <v>11</v>
      </c>
      <c r="B14" s="11">
        <v>46356</v>
      </c>
      <c r="C14" s="2" t="s">
        <v>76</v>
      </c>
      <c r="D14" s="2" t="s">
        <v>66</v>
      </c>
      <c r="E14" s="2" t="s">
        <v>88</v>
      </c>
    </row>
    <row r="15" spans="1:5" x14ac:dyDescent="0.25">
      <c r="A15" s="2">
        <v>12</v>
      </c>
      <c r="B15" s="11">
        <v>46387</v>
      </c>
      <c r="C15" s="2" t="s">
        <v>77</v>
      </c>
      <c r="D15" s="2" t="s">
        <v>68</v>
      </c>
      <c r="E15" s="2" t="s">
        <v>89</v>
      </c>
    </row>
    <row r="16" spans="1:5" x14ac:dyDescent="0.25">
      <c r="A16" s="2">
        <v>13</v>
      </c>
      <c r="B16" s="11">
        <v>46418</v>
      </c>
      <c r="C16" s="2" t="s">
        <v>59</v>
      </c>
      <c r="D16" s="2" t="s">
        <v>70</v>
      </c>
      <c r="E16" s="2" t="s">
        <v>90</v>
      </c>
    </row>
    <row r="17" spans="1:5" x14ac:dyDescent="0.25">
      <c r="A17" s="2">
        <v>14</v>
      </c>
      <c r="B17" s="11">
        <v>46446</v>
      </c>
      <c r="C17" s="2" t="s">
        <v>61</v>
      </c>
      <c r="D17" s="2" t="s">
        <v>72</v>
      </c>
      <c r="E17" s="2" t="s">
        <v>91</v>
      </c>
    </row>
    <row r="18" spans="1:5" x14ac:dyDescent="0.25">
      <c r="A18" s="2">
        <v>15</v>
      </c>
      <c r="B18" s="11">
        <v>46477</v>
      </c>
      <c r="C18" s="2" t="s">
        <v>63</v>
      </c>
      <c r="D18" s="2" t="s">
        <v>60</v>
      </c>
      <c r="E18" s="2" t="s">
        <v>92</v>
      </c>
    </row>
    <row r="19" spans="1:5" x14ac:dyDescent="0.25">
      <c r="A19" s="12">
        <v>16</v>
      </c>
      <c r="B19" s="13">
        <v>46507</v>
      </c>
      <c r="C19" s="12" t="s">
        <v>65</v>
      </c>
      <c r="D19" s="12" t="s">
        <v>62</v>
      </c>
      <c r="E19" s="12" t="s">
        <v>93</v>
      </c>
    </row>
  </sheetData>
  <mergeCells count="1">
    <mergeCell ref="A1:XFD1"/>
  </mergeCells>
  <phoneticPr fontId="5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53FF-42C4-45D9-AD95-10CAC68DC422}">
  <dimension ref="A1:L16"/>
  <sheetViews>
    <sheetView workbookViewId="0">
      <selection sqref="A1:XFD1"/>
    </sheetView>
  </sheetViews>
  <sheetFormatPr defaultRowHeight="15" x14ac:dyDescent="0.25"/>
  <cols>
    <col min="1" max="1" width="15.140625" bestFit="1" customWidth="1"/>
    <col min="2" max="2" width="10.5703125" bestFit="1" customWidth="1"/>
    <col min="3" max="3" width="10.140625" bestFit="1" customWidth="1"/>
    <col min="4" max="4" width="19.7109375" bestFit="1" customWidth="1"/>
    <col min="6" max="6" width="14.42578125" bestFit="1" customWidth="1"/>
    <col min="7" max="7" width="15" bestFit="1" customWidth="1"/>
    <col min="9" max="9" width="19.7109375" customWidth="1"/>
    <col min="10" max="10" width="8.85546875" customWidth="1"/>
    <col min="11" max="11" width="8.5703125" bestFit="1" customWidth="1"/>
    <col min="12" max="12" width="10.140625" bestFit="1" customWidth="1"/>
  </cols>
  <sheetData>
    <row r="1" spans="1:12" s="98" customFormat="1" ht="33" customHeight="1" thickBot="1" x14ac:dyDescent="0.3">
      <c r="A1" s="98" t="s">
        <v>6</v>
      </c>
    </row>
    <row r="2" spans="1:12" ht="15.75" thickTop="1" x14ac:dyDescent="0.25"/>
    <row r="3" spans="1:12" x14ac:dyDescent="0.25">
      <c r="A3" s="15" t="s">
        <v>95</v>
      </c>
      <c r="B3" s="15" t="s">
        <v>96</v>
      </c>
      <c r="C3" s="15" t="s">
        <v>97</v>
      </c>
      <c r="D3" s="15" t="s">
        <v>98</v>
      </c>
      <c r="E3" s="1"/>
      <c r="F3" s="23" t="s">
        <v>99</v>
      </c>
      <c r="G3" s="24" t="s">
        <v>100</v>
      </c>
      <c r="H3" s="1"/>
      <c r="I3" s="25" t="s">
        <v>101</v>
      </c>
      <c r="J3" s="25" t="s">
        <v>102</v>
      </c>
      <c r="K3" s="25" t="s">
        <v>103</v>
      </c>
      <c r="L3" s="25" t="s">
        <v>104</v>
      </c>
    </row>
    <row r="4" spans="1:12" x14ac:dyDescent="0.25">
      <c r="A4" s="2" t="s">
        <v>79</v>
      </c>
      <c r="B4" s="2" t="s">
        <v>105</v>
      </c>
      <c r="C4" s="2" t="s">
        <v>106</v>
      </c>
      <c r="D4" s="10" t="s">
        <v>107</v>
      </c>
      <c r="F4" s="19" t="s">
        <v>108</v>
      </c>
      <c r="G4" s="20">
        <v>123</v>
      </c>
      <c r="I4" s="2" t="s">
        <v>109</v>
      </c>
      <c r="J4" s="2" t="s">
        <v>110</v>
      </c>
      <c r="K4" s="2" t="s">
        <v>111</v>
      </c>
      <c r="L4" s="2">
        <v>123</v>
      </c>
    </row>
    <row r="5" spans="1:12" x14ac:dyDescent="0.25">
      <c r="A5" s="2" t="s">
        <v>80</v>
      </c>
      <c r="B5" s="2" t="s">
        <v>112</v>
      </c>
      <c r="C5" s="2" t="s">
        <v>113</v>
      </c>
      <c r="D5" s="10" t="s">
        <v>114</v>
      </c>
      <c r="F5" s="19" t="s">
        <v>115</v>
      </c>
      <c r="G5" s="20">
        <v>124</v>
      </c>
      <c r="I5" s="2" t="s">
        <v>116</v>
      </c>
      <c r="J5" s="2" t="s">
        <v>117</v>
      </c>
      <c r="K5" s="2" t="s">
        <v>118</v>
      </c>
      <c r="L5" s="2">
        <v>498</v>
      </c>
    </row>
    <row r="6" spans="1:12" x14ac:dyDescent="0.25">
      <c r="A6" s="2" t="s">
        <v>81</v>
      </c>
      <c r="B6" s="2" t="s">
        <v>119</v>
      </c>
      <c r="C6" s="2" t="s">
        <v>120</v>
      </c>
      <c r="D6" s="10" t="s">
        <v>121</v>
      </c>
      <c r="F6" s="19" t="s">
        <v>122</v>
      </c>
      <c r="G6" s="20">
        <v>125</v>
      </c>
      <c r="I6" s="2" t="s">
        <v>123</v>
      </c>
      <c r="J6" s="2" t="s">
        <v>124</v>
      </c>
      <c r="K6" s="2" t="s">
        <v>125</v>
      </c>
      <c r="L6" s="2">
        <v>289</v>
      </c>
    </row>
    <row r="7" spans="1:12" x14ac:dyDescent="0.25">
      <c r="A7" s="2" t="s">
        <v>82</v>
      </c>
      <c r="B7" s="2" t="s">
        <v>126</v>
      </c>
      <c r="C7" s="2" t="s">
        <v>127</v>
      </c>
      <c r="D7" s="10" t="s">
        <v>128</v>
      </c>
      <c r="F7" s="19" t="s">
        <v>129</v>
      </c>
      <c r="G7" s="20">
        <v>126</v>
      </c>
      <c r="I7" s="2" t="s">
        <v>130</v>
      </c>
      <c r="J7" s="2" t="s">
        <v>131</v>
      </c>
      <c r="K7" s="2" t="s">
        <v>132</v>
      </c>
      <c r="L7" s="2">
        <v>290</v>
      </c>
    </row>
    <row r="8" spans="1:12" x14ac:dyDescent="0.25">
      <c r="A8" s="2" t="s">
        <v>83</v>
      </c>
      <c r="B8" s="2" t="s">
        <v>133</v>
      </c>
      <c r="C8" s="2" t="s">
        <v>117</v>
      </c>
      <c r="D8" s="10" t="s">
        <v>134</v>
      </c>
      <c r="F8" s="19" t="s">
        <v>135</v>
      </c>
      <c r="G8" s="20">
        <v>127</v>
      </c>
      <c r="I8" s="12" t="s">
        <v>136</v>
      </c>
      <c r="J8" s="12" t="s">
        <v>137</v>
      </c>
      <c r="K8" s="12" t="s">
        <v>138</v>
      </c>
      <c r="L8" s="12">
        <v>120</v>
      </c>
    </row>
    <row r="9" spans="1:12" x14ac:dyDescent="0.25">
      <c r="A9" s="2" t="s">
        <v>84</v>
      </c>
      <c r="B9" s="2" t="s">
        <v>139</v>
      </c>
      <c r="C9" s="2" t="s">
        <v>140</v>
      </c>
      <c r="D9" s="10" t="s">
        <v>141</v>
      </c>
      <c r="F9" s="19" t="s">
        <v>142</v>
      </c>
      <c r="G9" s="20">
        <v>128</v>
      </c>
    </row>
    <row r="10" spans="1:12" x14ac:dyDescent="0.25">
      <c r="A10" s="2" t="s">
        <v>85</v>
      </c>
      <c r="B10" s="2" t="s">
        <v>143</v>
      </c>
      <c r="C10" s="2" t="s">
        <v>144</v>
      </c>
      <c r="D10" s="10" t="s">
        <v>145</v>
      </c>
      <c r="F10" s="19" t="s">
        <v>146</v>
      </c>
      <c r="G10" s="20">
        <v>129</v>
      </c>
    </row>
    <row r="11" spans="1:12" x14ac:dyDescent="0.25">
      <c r="A11" s="2" t="s">
        <v>86</v>
      </c>
      <c r="B11" s="2" t="s">
        <v>147</v>
      </c>
      <c r="C11" s="2" t="s">
        <v>148</v>
      </c>
      <c r="D11" s="10" t="s">
        <v>149</v>
      </c>
      <c r="F11" s="19" t="s">
        <v>150</v>
      </c>
      <c r="G11" s="20">
        <v>130</v>
      </c>
    </row>
    <row r="12" spans="1:12" x14ac:dyDescent="0.25">
      <c r="A12" s="2" t="s">
        <v>87</v>
      </c>
      <c r="B12" s="2" t="s">
        <v>151</v>
      </c>
      <c r="C12" s="2" t="s">
        <v>152</v>
      </c>
      <c r="D12" s="10" t="s">
        <v>153</v>
      </c>
      <c r="F12" s="19" t="s">
        <v>154</v>
      </c>
      <c r="G12" s="20">
        <v>131</v>
      </c>
    </row>
    <row r="13" spans="1:12" x14ac:dyDescent="0.25">
      <c r="A13" s="2" t="s">
        <v>88</v>
      </c>
      <c r="B13" s="2" t="s">
        <v>155</v>
      </c>
      <c r="C13" s="2" t="s">
        <v>156</v>
      </c>
      <c r="D13" s="10" t="s">
        <v>157</v>
      </c>
      <c r="F13" s="19" t="s">
        <v>158</v>
      </c>
      <c r="G13" s="20">
        <v>132</v>
      </c>
    </row>
    <row r="14" spans="1:12" x14ac:dyDescent="0.25">
      <c r="A14" s="2" t="s">
        <v>89</v>
      </c>
      <c r="B14" s="2" t="s">
        <v>159</v>
      </c>
      <c r="C14" s="2" t="s">
        <v>160</v>
      </c>
      <c r="D14" s="10" t="s">
        <v>161</v>
      </c>
      <c r="F14" s="19" t="s">
        <v>162</v>
      </c>
      <c r="G14" s="20">
        <v>133</v>
      </c>
    </row>
    <row r="15" spans="1:12" x14ac:dyDescent="0.25">
      <c r="A15" s="2" t="s">
        <v>90</v>
      </c>
      <c r="B15" s="2" t="s">
        <v>163</v>
      </c>
      <c r="C15" s="2" t="s">
        <v>164</v>
      </c>
      <c r="D15" s="10" t="s">
        <v>165</v>
      </c>
      <c r="F15" s="19" t="s">
        <v>166</v>
      </c>
      <c r="G15" s="20">
        <v>134</v>
      </c>
    </row>
    <row r="16" spans="1:12" x14ac:dyDescent="0.25">
      <c r="A16" s="12" t="s">
        <v>167</v>
      </c>
      <c r="B16" s="12" t="s">
        <v>168</v>
      </c>
      <c r="C16" s="12" t="s">
        <v>169</v>
      </c>
      <c r="D16" s="16" t="s">
        <v>170</v>
      </c>
      <c r="F16" s="21" t="s">
        <v>171</v>
      </c>
      <c r="G16" s="22">
        <v>135</v>
      </c>
    </row>
  </sheetData>
  <mergeCells count="1">
    <mergeCell ref="A1:XFD1"/>
  </mergeCells>
  <hyperlinks>
    <hyperlink ref="D4" r:id="rId1" xr:uid="{C0BD36FB-F03D-4451-98CB-E479C635AF81}"/>
    <hyperlink ref="D5" r:id="rId2" xr:uid="{2C7EE143-3E35-4AE6-9CB7-C864D3BD2810}"/>
    <hyperlink ref="D6" r:id="rId3" xr:uid="{1EBE03C5-57B0-4CCB-B8B5-5BF3F88F5E0D}"/>
    <hyperlink ref="D7" r:id="rId4" xr:uid="{FC7DF323-BE1A-4309-BA58-F77B25015FBC}"/>
    <hyperlink ref="D8" r:id="rId5" xr:uid="{7733DB46-33DE-438D-852D-3924E253B0A5}"/>
    <hyperlink ref="D9" r:id="rId6" xr:uid="{68DF0845-11C6-4D83-B057-7FC225D144AD}"/>
    <hyperlink ref="D10" r:id="rId7" xr:uid="{79AAD8E3-1241-4883-A077-193AC701C0CD}"/>
    <hyperlink ref="D11" r:id="rId8" xr:uid="{9512189A-6F06-4233-955C-F4E589379221}"/>
    <hyperlink ref="D12" r:id="rId9" xr:uid="{53A24996-43B3-44BF-A011-1C684B8D05B4}"/>
    <hyperlink ref="D13" r:id="rId10" xr:uid="{59638808-5B71-43E7-877B-2A7E5CA68098}"/>
    <hyperlink ref="D14" r:id="rId11" xr:uid="{091629BE-8457-44DF-9F1B-707ACDABF743}"/>
    <hyperlink ref="D15" r:id="rId12" xr:uid="{925B5BAE-E1FF-44D9-887E-F58AEEE14980}"/>
    <hyperlink ref="D16" r:id="rId13" xr:uid="{EE2B85EC-DAA3-41FD-A39E-331B76472D9D}"/>
  </hyperlinks>
  <pageMargins left="0.7" right="0.7" top="0.75" bottom="0.75" header="0.3" footer="0.3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7DE-63A6-4DD2-B98F-BE09779634C2}">
  <dimension ref="A1:H17"/>
  <sheetViews>
    <sheetView workbookViewId="0">
      <selection activeCell="F8" sqref="F8"/>
    </sheetView>
  </sheetViews>
  <sheetFormatPr defaultRowHeight="15" x14ac:dyDescent="0.25"/>
  <cols>
    <col min="1" max="1" width="10" customWidth="1"/>
    <col min="2" max="2" width="21.7109375" customWidth="1"/>
    <col min="4" max="4" width="13" customWidth="1"/>
    <col min="5" max="5" width="12.28515625" customWidth="1"/>
    <col min="7" max="7" width="17.42578125" customWidth="1"/>
    <col min="8" max="8" width="10.5703125" customWidth="1"/>
  </cols>
  <sheetData>
    <row r="1" spans="1:8" s="97" customFormat="1" ht="27.75" customHeight="1" thickBot="1" x14ac:dyDescent="0.3">
      <c r="A1" s="97" t="s">
        <v>177</v>
      </c>
    </row>
    <row r="2" spans="1:8" ht="15.75" thickTop="1" x14ac:dyDescent="0.25"/>
    <row r="3" spans="1:8" x14ac:dyDescent="0.25">
      <c r="A3" s="26" t="s">
        <v>178</v>
      </c>
      <c r="B3" s="26" t="s">
        <v>179</v>
      </c>
      <c r="C3" s="26" t="s">
        <v>180</v>
      </c>
      <c r="D3" s="26" t="s">
        <v>181</v>
      </c>
      <c r="E3" s="26" t="s">
        <v>182</v>
      </c>
      <c r="G3" s="26" t="s">
        <v>183</v>
      </c>
      <c r="H3" s="27">
        <f>AVERAGE(Quantity)</f>
        <v>35460.714285714283</v>
      </c>
    </row>
    <row r="4" spans="1:8" x14ac:dyDescent="0.25">
      <c r="A4" s="26">
        <v>3211</v>
      </c>
      <c r="B4" s="28" t="s">
        <v>184</v>
      </c>
      <c r="C4" s="29">
        <v>27095</v>
      </c>
      <c r="D4" s="30">
        <v>0.2</v>
      </c>
      <c r="E4" s="30">
        <f>C4*D4</f>
        <v>5419</v>
      </c>
      <c r="G4" s="26" t="s">
        <v>185</v>
      </c>
      <c r="H4" s="31">
        <f>COUNTA(Order)</f>
        <v>14</v>
      </c>
    </row>
    <row r="5" spans="1:8" x14ac:dyDescent="0.25">
      <c r="A5" s="26">
        <v>2955</v>
      </c>
      <c r="B5" s="28" t="s">
        <v>186</v>
      </c>
      <c r="C5" s="29">
        <v>48696</v>
      </c>
      <c r="D5" s="30">
        <v>0.15</v>
      </c>
      <c r="E5" s="30">
        <f t="shared" ref="E5:E17" si="0">C5*D5</f>
        <v>7304.4</v>
      </c>
      <c r="G5" s="26" t="s">
        <v>187</v>
      </c>
      <c r="H5" s="32">
        <f>MIN(Total)</f>
        <v>3133.4</v>
      </c>
    </row>
    <row r="6" spans="1:8" x14ac:dyDescent="0.25">
      <c r="A6" s="26">
        <v>3159</v>
      </c>
      <c r="B6" s="28" t="s">
        <v>188</v>
      </c>
      <c r="C6" s="29">
        <v>29970</v>
      </c>
      <c r="D6" s="30">
        <v>0.25</v>
      </c>
      <c r="E6" s="30">
        <f t="shared" si="0"/>
        <v>7492.5</v>
      </c>
      <c r="G6" s="26" t="s">
        <v>189</v>
      </c>
      <c r="H6" s="32">
        <f>MAX(Total)</f>
        <v>9400.6</v>
      </c>
    </row>
    <row r="7" spans="1:8" x14ac:dyDescent="0.25">
      <c r="A7" s="26">
        <v>3004</v>
      </c>
      <c r="B7" s="28" t="s">
        <v>190</v>
      </c>
      <c r="C7" s="29">
        <v>15667</v>
      </c>
      <c r="D7" s="30">
        <v>0.2</v>
      </c>
      <c r="E7" s="30">
        <f t="shared" si="0"/>
        <v>3133.4</v>
      </c>
      <c r="G7" s="26" t="s">
        <v>191</v>
      </c>
      <c r="H7" s="32">
        <f>SUM(Total)</f>
        <v>95405.300000000032</v>
      </c>
    </row>
    <row r="8" spans="1:8" x14ac:dyDescent="0.25">
      <c r="A8" s="26">
        <v>4534</v>
      </c>
      <c r="B8" s="28" t="s">
        <v>192</v>
      </c>
      <c r="C8" s="29">
        <v>46321</v>
      </c>
      <c r="D8" s="30">
        <v>0.2</v>
      </c>
      <c r="E8" s="30">
        <f t="shared" si="0"/>
        <v>9264.2000000000007</v>
      </c>
    </row>
    <row r="9" spans="1:8" x14ac:dyDescent="0.25">
      <c r="A9" s="26">
        <v>2220</v>
      </c>
      <c r="B9" s="28" t="s">
        <v>193</v>
      </c>
      <c r="C9" s="29">
        <v>47003</v>
      </c>
      <c r="D9" s="30">
        <v>0.2</v>
      </c>
      <c r="E9" s="30">
        <f t="shared" si="0"/>
        <v>9400.6</v>
      </c>
    </row>
    <row r="10" spans="1:8" x14ac:dyDescent="0.25">
      <c r="A10" s="26">
        <v>1796</v>
      </c>
      <c r="B10" s="28" t="s">
        <v>194</v>
      </c>
      <c r="C10" s="29">
        <v>41595</v>
      </c>
      <c r="D10" s="30">
        <v>0.2</v>
      </c>
      <c r="E10" s="30">
        <f t="shared" si="0"/>
        <v>8319</v>
      </c>
    </row>
    <row r="11" spans="1:8" x14ac:dyDescent="0.25">
      <c r="A11" s="26">
        <v>3558</v>
      </c>
      <c r="B11" s="28" t="s">
        <v>195</v>
      </c>
      <c r="C11" s="29">
        <v>41552</v>
      </c>
      <c r="D11" s="30">
        <v>0.2</v>
      </c>
      <c r="E11" s="30">
        <f t="shared" si="0"/>
        <v>8310.4</v>
      </c>
    </row>
    <row r="12" spans="1:8" x14ac:dyDescent="0.25">
      <c r="A12" s="26">
        <v>1437</v>
      </c>
      <c r="B12" s="28" t="s">
        <v>196</v>
      </c>
      <c r="C12" s="29">
        <v>23299</v>
      </c>
      <c r="D12" s="30">
        <v>0.3</v>
      </c>
      <c r="E12" s="30">
        <f t="shared" si="0"/>
        <v>6989.7</v>
      </c>
    </row>
    <row r="13" spans="1:8" x14ac:dyDescent="0.25">
      <c r="A13" s="26">
        <v>1336</v>
      </c>
      <c r="B13" s="28" t="s">
        <v>197</v>
      </c>
      <c r="C13" s="29">
        <v>34014</v>
      </c>
      <c r="D13" s="30">
        <v>0.15</v>
      </c>
      <c r="E13" s="30">
        <f t="shared" si="0"/>
        <v>5102.0999999999995</v>
      </c>
    </row>
    <row r="14" spans="1:8" x14ac:dyDescent="0.25">
      <c r="A14" s="26">
        <v>2044</v>
      </c>
      <c r="B14" s="28" t="s">
        <v>198</v>
      </c>
      <c r="C14" s="29">
        <v>43247</v>
      </c>
      <c r="D14" s="30">
        <v>0.15</v>
      </c>
      <c r="E14" s="30">
        <f t="shared" si="0"/>
        <v>6487.05</v>
      </c>
    </row>
    <row r="15" spans="1:8" x14ac:dyDescent="0.25">
      <c r="A15" s="26">
        <v>3320</v>
      </c>
      <c r="B15" s="28" t="s">
        <v>199</v>
      </c>
      <c r="C15" s="29">
        <v>28305</v>
      </c>
      <c r="D15" s="30">
        <v>0.15</v>
      </c>
      <c r="E15" s="30">
        <f t="shared" si="0"/>
        <v>4245.75</v>
      </c>
    </row>
    <row r="16" spans="1:8" x14ac:dyDescent="0.25">
      <c r="A16" s="26">
        <v>1534</v>
      </c>
      <c r="B16" s="28" t="s">
        <v>200</v>
      </c>
      <c r="C16" s="29">
        <v>39218</v>
      </c>
      <c r="D16" s="30">
        <v>0.2</v>
      </c>
      <c r="E16" s="30">
        <f t="shared" si="0"/>
        <v>7843.6</v>
      </c>
    </row>
    <row r="17" spans="1:5" x14ac:dyDescent="0.25">
      <c r="A17" s="26">
        <v>3989</v>
      </c>
      <c r="B17" s="28" t="s">
        <v>201</v>
      </c>
      <c r="C17" s="29">
        <v>30468</v>
      </c>
      <c r="D17" s="30">
        <v>0.2</v>
      </c>
      <c r="E17" s="30">
        <f t="shared" si="0"/>
        <v>6093.6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FF0E-5F65-4695-A118-2D2013CA53C2}">
  <dimension ref="A1:D25"/>
  <sheetViews>
    <sheetView workbookViewId="0">
      <selection sqref="A1:XFD1"/>
    </sheetView>
  </sheetViews>
  <sheetFormatPr defaultRowHeight="15" x14ac:dyDescent="0.25"/>
  <cols>
    <col min="1" max="1" width="10.28515625" customWidth="1"/>
    <col min="2" max="2" width="10" customWidth="1"/>
    <col min="3" max="3" width="12.85546875" customWidth="1"/>
    <col min="4" max="4" width="11" bestFit="1" customWidth="1"/>
  </cols>
  <sheetData>
    <row r="1" spans="1:4" s="98" customFormat="1" ht="28.5" customHeight="1" thickBot="1" x14ac:dyDescent="0.3">
      <c r="A1" s="98" t="s">
        <v>8</v>
      </c>
    </row>
    <row r="2" spans="1:4" ht="15.75" thickTop="1" x14ac:dyDescent="0.25"/>
    <row r="3" spans="1:4" x14ac:dyDescent="0.25">
      <c r="A3" s="17" t="s">
        <v>54</v>
      </c>
      <c r="B3" s="33" t="s">
        <v>202</v>
      </c>
      <c r="C3" s="33" t="s">
        <v>203</v>
      </c>
      <c r="D3" s="18" t="s">
        <v>204</v>
      </c>
    </row>
    <row r="4" spans="1:4" x14ac:dyDescent="0.25">
      <c r="A4" s="34">
        <v>10</v>
      </c>
      <c r="B4" s="35">
        <v>10</v>
      </c>
      <c r="C4" s="36">
        <v>10</v>
      </c>
      <c r="D4" s="37">
        <v>0.1</v>
      </c>
    </row>
    <row r="5" spans="1:4" x14ac:dyDescent="0.25">
      <c r="A5" s="34">
        <v>20</v>
      </c>
      <c r="B5" s="35">
        <v>20</v>
      </c>
      <c r="C5" s="36">
        <v>20</v>
      </c>
      <c r="D5" s="37">
        <v>0.2</v>
      </c>
    </row>
    <row r="6" spans="1:4" x14ac:dyDescent="0.25">
      <c r="A6" s="34">
        <v>30</v>
      </c>
      <c r="B6" s="35">
        <v>30</v>
      </c>
      <c r="C6" s="36">
        <v>30</v>
      </c>
      <c r="D6" s="37">
        <v>0.3</v>
      </c>
    </row>
    <row r="7" spans="1:4" x14ac:dyDescent="0.25">
      <c r="A7" s="34">
        <v>40</v>
      </c>
      <c r="B7" s="35">
        <v>40</v>
      </c>
      <c r="C7" s="36">
        <v>40</v>
      </c>
      <c r="D7" s="37">
        <v>0.4</v>
      </c>
    </row>
    <row r="8" spans="1:4" x14ac:dyDescent="0.25">
      <c r="A8" s="34">
        <v>50</v>
      </c>
      <c r="B8" s="35">
        <v>50</v>
      </c>
      <c r="C8" s="36">
        <v>50</v>
      </c>
      <c r="D8" s="37">
        <v>0.5</v>
      </c>
    </row>
    <row r="9" spans="1:4" x14ac:dyDescent="0.25">
      <c r="A9" s="34">
        <v>60</v>
      </c>
      <c r="B9" s="35">
        <v>60</v>
      </c>
      <c r="C9" s="36">
        <v>60</v>
      </c>
      <c r="D9" s="37">
        <v>0.6</v>
      </c>
    </row>
    <row r="10" spans="1:4" x14ac:dyDescent="0.25">
      <c r="A10" s="34">
        <v>70</v>
      </c>
      <c r="B10" s="35">
        <v>70</v>
      </c>
      <c r="C10" s="36">
        <v>70</v>
      </c>
      <c r="D10" s="37">
        <v>0.7</v>
      </c>
    </row>
    <row r="11" spans="1:4" x14ac:dyDescent="0.25">
      <c r="A11" s="34">
        <v>80</v>
      </c>
      <c r="B11" s="35">
        <v>80</v>
      </c>
      <c r="C11" s="36">
        <v>80</v>
      </c>
      <c r="D11" s="37">
        <v>0.8</v>
      </c>
    </row>
    <row r="12" spans="1:4" x14ac:dyDescent="0.25">
      <c r="A12" s="34">
        <v>90</v>
      </c>
      <c r="B12" s="35">
        <v>90</v>
      </c>
      <c r="C12" s="36">
        <v>90</v>
      </c>
      <c r="D12" s="37">
        <v>0.9</v>
      </c>
    </row>
    <row r="13" spans="1:4" x14ac:dyDescent="0.25">
      <c r="A13" s="34">
        <v>100</v>
      </c>
      <c r="B13" s="35">
        <v>100</v>
      </c>
      <c r="C13" s="36">
        <v>100</v>
      </c>
      <c r="D13" s="37">
        <v>1</v>
      </c>
    </row>
    <row r="14" spans="1:4" x14ac:dyDescent="0.25">
      <c r="A14" s="34">
        <v>110</v>
      </c>
      <c r="B14" s="35">
        <v>110</v>
      </c>
      <c r="C14" s="36">
        <v>110</v>
      </c>
      <c r="D14" s="37">
        <v>1.1000000000000001</v>
      </c>
    </row>
    <row r="15" spans="1:4" x14ac:dyDescent="0.25">
      <c r="A15" s="34">
        <v>120</v>
      </c>
      <c r="B15" s="35">
        <v>120</v>
      </c>
      <c r="C15" s="36">
        <v>120</v>
      </c>
      <c r="D15" s="37">
        <v>1.2</v>
      </c>
    </row>
    <row r="16" spans="1:4" x14ac:dyDescent="0.25">
      <c r="A16" s="34">
        <v>130</v>
      </c>
      <c r="B16" s="35">
        <v>130</v>
      </c>
      <c r="C16" s="36">
        <v>130</v>
      </c>
      <c r="D16" s="37">
        <v>1.3</v>
      </c>
    </row>
    <row r="17" spans="1:4" x14ac:dyDescent="0.25">
      <c r="A17" s="34">
        <v>140</v>
      </c>
      <c r="B17" s="35">
        <v>140</v>
      </c>
      <c r="C17" s="36">
        <v>140</v>
      </c>
      <c r="D17" s="37">
        <v>1.4</v>
      </c>
    </row>
    <row r="18" spans="1:4" x14ac:dyDescent="0.25">
      <c r="A18" s="34">
        <v>150</v>
      </c>
      <c r="B18" s="35">
        <v>150</v>
      </c>
      <c r="C18" s="36">
        <v>150</v>
      </c>
      <c r="D18" s="37">
        <v>1.5</v>
      </c>
    </row>
    <row r="19" spans="1:4" x14ac:dyDescent="0.25">
      <c r="A19" s="34">
        <v>160</v>
      </c>
      <c r="B19" s="35">
        <v>160</v>
      </c>
      <c r="C19" s="36">
        <v>160</v>
      </c>
      <c r="D19" s="37">
        <v>1.6</v>
      </c>
    </row>
    <row r="20" spans="1:4" x14ac:dyDescent="0.25">
      <c r="A20" s="34">
        <v>170</v>
      </c>
      <c r="B20" s="35">
        <v>170</v>
      </c>
      <c r="C20" s="36">
        <v>170</v>
      </c>
      <c r="D20" s="37">
        <v>1.7</v>
      </c>
    </row>
    <row r="21" spans="1:4" x14ac:dyDescent="0.25">
      <c r="A21" s="34">
        <v>180</v>
      </c>
      <c r="B21" s="35">
        <v>180</v>
      </c>
      <c r="C21" s="36">
        <v>180</v>
      </c>
      <c r="D21" s="37">
        <v>1.8</v>
      </c>
    </row>
    <row r="22" spans="1:4" x14ac:dyDescent="0.25">
      <c r="A22" s="34">
        <v>190</v>
      </c>
      <c r="B22" s="35">
        <v>190</v>
      </c>
      <c r="C22" s="36">
        <v>190</v>
      </c>
      <c r="D22" s="37">
        <v>1.9</v>
      </c>
    </row>
    <row r="23" spans="1:4" x14ac:dyDescent="0.25">
      <c r="A23" s="34">
        <v>200</v>
      </c>
      <c r="B23" s="35">
        <v>200</v>
      </c>
      <c r="C23" s="36">
        <v>200</v>
      </c>
      <c r="D23" s="37">
        <v>2</v>
      </c>
    </row>
    <row r="24" spans="1:4" x14ac:dyDescent="0.25">
      <c r="A24" s="34">
        <v>210</v>
      </c>
      <c r="B24" s="35">
        <v>210</v>
      </c>
      <c r="C24" s="36">
        <v>210</v>
      </c>
      <c r="D24" s="37">
        <v>2.1</v>
      </c>
    </row>
    <row r="25" spans="1:4" x14ac:dyDescent="0.25">
      <c r="A25" s="38">
        <v>220</v>
      </c>
      <c r="B25" s="39">
        <v>220</v>
      </c>
      <c r="C25" s="40">
        <v>220</v>
      </c>
      <c r="D25" s="41">
        <v>2.2000000000000002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5A4B-836E-4D7E-8F46-ABDCE69657E4}">
  <dimension ref="A1:C26"/>
  <sheetViews>
    <sheetView zoomScaleNormal="100" workbookViewId="0">
      <selection sqref="A1:XFD1"/>
    </sheetView>
  </sheetViews>
  <sheetFormatPr defaultRowHeight="15" x14ac:dyDescent="0.25"/>
  <cols>
    <col min="1" max="1" width="20.7109375" bestFit="1" customWidth="1"/>
    <col min="2" max="2" width="15.7109375" customWidth="1"/>
    <col min="3" max="3" width="14.5703125" customWidth="1"/>
  </cols>
  <sheetData>
    <row r="1" spans="1:3" s="98" customFormat="1" ht="25.5" customHeight="1" thickBot="1" x14ac:dyDescent="0.3">
      <c r="A1" s="98" t="s">
        <v>9</v>
      </c>
    </row>
    <row r="2" spans="1:3" ht="15.75" thickTop="1" x14ac:dyDescent="0.25">
      <c r="A2" s="42" t="s">
        <v>206</v>
      </c>
      <c r="B2" s="43" t="s">
        <v>207</v>
      </c>
    </row>
    <row r="4" spans="1:3" x14ac:dyDescent="0.25">
      <c r="A4" s="15" t="s">
        <v>208</v>
      </c>
      <c r="B4" s="15" t="s">
        <v>209</v>
      </c>
      <c r="C4" s="15" t="s">
        <v>210</v>
      </c>
    </row>
    <row r="5" spans="1:3" x14ac:dyDescent="0.25">
      <c r="A5" s="11">
        <v>44197</v>
      </c>
      <c r="B5" s="44">
        <v>44197</v>
      </c>
      <c r="C5" s="45">
        <v>0.125</v>
      </c>
    </row>
    <row r="6" spans="1:3" x14ac:dyDescent="0.25">
      <c r="A6" s="11">
        <v>44198</v>
      </c>
      <c r="B6" s="44">
        <v>44198</v>
      </c>
      <c r="C6" s="45">
        <v>0.16666666666666699</v>
      </c>
    </row>
    <row r="7" spans="1:3" x14ac:dyDescent="0.25">
      <c r="A7" s="11">
        <v>44199</v>
      </c>
      <c r="B7" s="44">
        <v>44199</v>
      </c>
      <c r="C7" s="45">
        <v>0.20833333333333301</v>
      </c>
    </row>
    <row r="8" spans="1:3" x14ac:dyDescent="0.25">
      <c r="A8" s="11">
        <v>44200</v>
      </c>
      <c r="B8" s="44">
        <v>44200</v>
      </c>
      <c r="C8" s="45">
        <v>0.25</v>
      </c>
    </row>
    <row r="9" spans="1:3" x14ac:dyDescent="0.25">
      <c r="A9" s="11">
        <v>44201</v>
      </c>
      <c r="B9" s="44">
        <v>44201</v>
      </c>
      <c r="C9" s="45">
        <v>0.29166666666666702</v>
      </c>
    </row>
    <row r="10" spans="1:3" x14ac:dyDescent="0.25">
      <c r="A10" s="11">
        <v>44202</v>
      </c>
      <c r="B10" s="44">
        <v>44202</v>
      </c>
      <c r="C10" s="45">
        <v>0.33333333333333298</v>
      </c>
    </row>
    <row r="11" spans="1:3" x14ac:dyDescent="0.25">
      <c r="A11" s="11">
        <v>44203</v>
      </c>
      <c r="B11" s="44">
        <v>44203</v>
      </c>
      <c r="C11" s="45">
        <v>0.375</v>
      </c>
    </row>
    <row r="12" spans="1:3" x14ac:dyDescent="0.25">
      <c r="A12" s="11">
        <v>44204</v>
      </c>
      <c r="B12" s="44">
        <v>44204</v>
      </c>
      <c r="C12" s="45">
        <v>0.41666666666666702</v>
      </c>
    </row>
    <row r="13" spans="1:3" x14ac:dyDescent="0.25">
      <c r="A13" s="11">
        <v>44205</v>
      </c>
      <c r="B13" s="44">
        <v>44205</v>
      </c>
      <c r="C13" s="45">
        <v>0.45833333333333298</v>
      </c>
    </row>
    <row r="14" spans="1:3" x14ac:dyDescent="0.25">
      <c r="A14" s="11">
        <v>44206</v>
      </c>
      <c r="B14" s="44">
        <v>44206</v>
      </c>
      <c r="C14" s="45">
        <v>0.5</v>
      </c>
    </row>
    <row r="15" spans="1:3" x14ac:dyDescent="0.25">
      <c r="A15" s="11">
        <v>44207</v>
      </c>
      <c r="B15" s="44">
        <v>44207</v>
      </c>
      <c r="C15" s="45">
        <v>0.54166666666666696</v>
      </c>
    </row>
    <row r="16" spans="1:3" x14ac:dyDescent="0.25">
      <c r="A16" s="11">
        <v>44208</v>
      </c>
      <c r="B16" s="44">
        <v>44208</v>
      </c>
      <c r="C16" s="45">
        <v>0.58333333333333304</v>
      </c>
    </row>
    <row r="17" spans="1:3" x14ac:dyDescent="0.25">
      <c r="A17" s="11">
        <v>44209</v>
      </c>
      <c r="B17" s="44">
        <v>44209</v>
      </c>
      <c r="C17" s="45">
        <v>0.625</v>
      </c>
    </row>
    <row r="18" spans="1:3" x14ac:dyDescent="0.25">
      <c r="A18" s="11">
        <v>44210</v>
      </c>
      <c r="B18" s="44">
        <v>44210</v>
      </c>
      <c r="C18" s="45">
        <v>0.66666666666666696</v>
      </c>
    </row>
    <row r="19" spans="1:3" x14ac:dyDescent="0.25">
      <c r="A19" s="11">
        <v>44211</v>
      </c>
      <c r="B19" s="44">
        <v>44211</v>
      </c>
      <c r="C19" s="45">
        <v>0.70833333333333304</v>
      </c>
    </row>
    <row r="20" spans="1:3" x14ac:dyDescent="0.25">
      <c r="A20" s="11">
        <v>44212</v>
      </c>
      <c r="B20" s="44">
        <v>44212</v>
      </c>
      <c r="C20" s="45">
        <v>0.75</v>
      </c>
    </row>
    <row r="21" spans="1:3" x14ac:dyDescent="0.25">
      <c r="A21" s="11">
        <v>44213</v>
      </c>
      <c r="B21" s="44">
        <v>44213</v>
      </c>
      <c r="C21" s="45">
        <v>0.79166666666666696</v>
      </c>
    </row>
    <row r="22" spans="1:3" x14ac:dyDescent="0.25">
      <c r="A22" s="11">
        <v>44214</v>
      </c>
      <c r="B22" s="44">
        <v>44214</v>
      </c>
      <c r="C22" s="45">
        <v>0.83333333333333304</v>
      </c>
    </row>
    <row r="23" spans="1:3" x14ac:dyDescent="0.25">
      <c r="A23" s="11">
        <v>44215</v>
      </c>
      <c r="B23" s="44">
        <v>44215</v>
      </c>
      <c r="C23" s="45">
        <v>0.875</v>
      </c>
    </row>
    <row r="24" spans="1:3" x14ac:dyDescent="0.25">
      <c r="A24" s="11">
        <v>44216</v>
      </c>
      <c r="B24" s="44">
        <v>44216</v>
      </c>
      <c r="C24" s="45">
        <v>0.91666666666666696</v>
      </c>
    </row>
    <row r="25" spans="1:3" x14ac:dyDescent="0.25">
      <c r="A25" s="11">
        <v>44217</v>
      </c>
      <c r="B25" s="44">
        <v>44217</v>
      </c>
      <c r="C25" s="45">
        <v>0.95833333333333304</v>
      </c>
    </row>
    <row r="26" spans="1:3" x14ac:dyDescent="0.25">
      <c r="A26" s="13">
        <v>44218</v>
      </c>
      <c r="B26" s="46">
        <v>44218</v>
      </c>
      <c r="C26" s="47">
        <v>1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3E81-69E8-484F-99D5-7B30D0662B3B}">
  <dimension ref="A1:G21"/>
  <sheetViews>
    <sheetView workbookViewId="0">
      <selection sqref="A1:XFD1"/>
    </sheetView>
  </sheetViews>
  <sheetFormatPr defaultRowHeight="15" x14ac:dyDescent="0.25"/>
  <cols>
    <col min="1" max="1" width="11.85546875" bestFit="1" customWidth="1"/>
    <col min="2" max="2" width="40.140625" bestFit="1" customWidth="1"/>
    <col min="3" max="3" width="11.28515625" bestFit="1" customWidth="1"/>
  </cols>
  <sheetData>
    <row r="1" spans="1:7" s="98" customFormat="1" ht="29.25" customHeight="1" thickBot="1" x14ac:dyDescent="0.3">
      <c r="A1" s="98" t="s">
        <v>10</v>
      </c>
    </row>
    <row r="2" spans="1:7" ht="15.75" thickTop="1" x14ac:dyDescent="0.25"/>
    <row r="3" spans="1:7" ht="18.75" x14ac:dyDescent="0.3">
      <c r="A3" s="48" t="s">
        <v>211</v>
      </c>
      <c r="B3" s="48" t="s">
        <v>212</v>
      </c>
      <c r="C3" s="48" t="s">
        <v>213</v>
      </c>
      <c r="E3" t="s">
        <v>211</v>
      </c>
      <c r="F3" t="s">
        <v>212</v>
      </c>
      <c r="G3" t="s">
        <v>213</v>
      </c>
    </row>
    <row r="4" spans="1:7" x14ac:dyDescent="0.25">
      <c r="A4" s="49">
        <v>43898</v>
      </c>
      <c r="B4" s="50" t="s">
        <v>214</v>
      </c>
      <c r="C4" s="51">
        <v>127.5</v>
      </c>
      <c r="E4">
        <v>43898</v>
      </c>
      <c r="F4" t="s">
        <v>214</v>
      </c>
      <c r="G4">
        <v>127.5</v>
      </c>
    </row>
    <row r="5" spans="1:7" x14ac:dyDescent="0.25">
      <c r="A5" s="49">
        <v>43899</v>
      </c>
      <c r="B5" s="50" t="s">
        <v>215</v>
      </c>
      <c r="C5" s="51">
        <v>34.5</v>
      </c>
      <c r="E5">
        <v>43899</v>
      </c>
      <c r="F5" t="s">
        <v>215</v>
      </c>
      <c r="G5">
        <v>34.5</v>
      </c>
    </row>
    <row r="6" spans="1:7" x14ac:dyDescent="0.25">
      <c r="A6" s="49">
        <v>43900</v>
      </c>
      <c r="B6" s="50" t="s">
        <v>216</v>
      </c>
      <c r="C6" s="51">
        <v>7.4</v>
      </c>
      <c r="E6">
        <v>43900</v>
      </c>
      <c r="F6" t="s">
        <v>216</v>
      </c>
      <c r="G6">
        <v>7.4</v>
      </c>
    </row>
    <row r="7" spans="1:7" x14ac:dyDescent="0.25">
      <c r="A7" s="49">
        <v>43901</v>
      </c>
      <c r="B7" s="50" t="s">
        <v>217</v>
      </c>
      <c r="C7" s="51">
        <v>20.6</v>
      </c>
      <c r="E7">
        <v>43901</v>
      </c>
      <c r="F7" t="s">
        <v>217</v>
      </c>
      <c r="G7">
        <v>20.6</v>
      </c>
    </row>
    <row r="8" spans="1:7" x14ac:dyDescent="0.25">
      <c r="A8" s="49">
        <v>43902</v>
      </c>
      <c r="B8" s="50" t="s">
        <v>218</v>
      </c>
      <c r="C8" s="51">
        <v>30.5</v>
      </c>
      <c r="E8">
        <v>43902</v>
      </c>
      <c r="F8" t="s">
        <v>218</v>
      </c>
      <c r="G8">
        <v>30.5</v>
      </c>
    </row>
    <row r="9" spans="1:7" x14ac:dyDescent="0.25">
      <c r="A9" s="49">
        <v>43903</v>
      </c>
      <c r="B9" s="50" t="s">
        <v>218</v>
      </c>
      <c r="C9" s="51">
        <v>32.200000000000003</v>
      </c>
      <c r="E9">
        <v>43903</v>
      </c>
      <c r="F9" t="s">
        <v>218</v>
      </c>
      <c r="G9">
        <v>32.200000000000003</v>
      </c>
    </row>
    <row r="10" spans="1:7" x14ac:dyDescent="0.25">
      <c r="A10" s="49">
        <v>43904</v>
      </c>
      <c r="B10" s="50" t="s">
        <v>219</v>
      </c>
      <c r="C10" s="51">
        <v>99</v>
      </c>
      <c r="E10">
        <v>43904</v>
      </c>
      <c r="F10" t="s">
        <v>219</v>
      </c>
      <c r="G10">
        <v>99</v>
      </c>
    </row>
    <row r="11" spans="1:7" x14ac:dyDescent="0.25">
      <c r="A11" s="49">
        <v>43905</v>
      </c>
      <c r="B11" s="50" t="s">
        <v>220</v>
      </c>
      <c r="C11" s="51">
        <v>10</v>
      </c>
      <c r="E11">
        <v>43905</v>
      </c>
      <c r="F11" t="s">
        <v>220</v>
      </c>
      <c r="G11">
        <v>10</v>
      </c>
    </row>
    <row r="12" spans="1:7" x14ac:dyDescent="0.25">
      <c r="A12" s="49">
        <v>43906</v>
      </c>
      <c r="B12" s="50" t="s">
        <v>221</v>
      </c>
      <c r="C12" s="51">
        <v>54.5</v>
      </c>
      <c r="E12">
        <v>43906</v>
      </c>
      <c r="F12" t="s">
        <v>221</v>
      </c>
      <c r="G12">
        <v>54.5</v>
      </c>
    </row>
    <row r="13" spans="1:7" x14ac:dyDescent="0.25">
      <c r="A13" s="49">
        <v>43907</v>
      </c>
      <c r="B13" s="50" t="s">
        <v>222</v>
      </c>
      <c r="C13" s="51">
        <v>50</v>
      </c>
      <c r="E13">
        <v>43907</v>
      </c>
      <c r="F13" t="s">
        <v>222</v>
      </c>
      <c r="G13">
        <v>50</v>
      </c>
    </row>
    <row r="14" spans="1:7" x14ac:dyDescent="0.25">
      <c r="A14" s="49">
        <v>43908</v>
      </c>
      <c r="B14" s="50" t="s">
        <v>223</v>
      </c>
      <c r="C14" s="51">
        <v>35</v>
      </c>
      <c r="E14">
        <v>43908</v>
      </c>
      <c r="F14" t="s">
        <v>223</v>
      </c>
      <c r="G14">
        <v>35</v>
      </c>
    </row>
    <row r="15" spans="1:7" x14ac:dyDescent="0.25">
      <c r="A15" s="49">
        <v>43909</v>
      </c>
      <c r="B15" s="50" t="s">
        <v>224</v>
      </c>
      <c r="C15" s="51">
        <v>12</v>
      </c>
      <c r="E15">
        <v>43909</v>
      </c>
      <c r="F15" t="s">
        <v>224</v>
      </c>
      <c r="G15">
        <v>12</v>
      </c>
    </row>
    <row r="16" spans="1:7" x14ac:dyDescent="0.25">
      <c r="A16" s="49">
        <v>43910</v>
      </c>
      <c r="B16" s="50" t="s">
        <v>225</v>
      </c>
      <c r="C16" s="51">
        <v>8</v>
      </c>
      <c r="E16">
        <v>43910</v>
      </c>
      <c r="F16" t="s">
        <v>225</v>
      </c>
      <c r="G16">
        <v>8</v>
      </c>
    </row>
    <row r="17" spans="1:7" x14ac:dyDescent="0.25">
      <c r="A17" s="49">
        <v>43911</v>
      </c>
      <c r="B17" s="50" t="s">
        <v>226</v>
      </c>
      <c r="C17" s="51">
        <v>6</v>
      </c>
      <c r="E17">
        <v>43911</v>
      </c>
      <c r="F17" t="s">
        <v>226</v>
      </c>
      <c r="G17">
        <v>6</v>
      </c>
    </row>
    <row r="18" spans="1:7" x14ac:dyDescent="0.25">
      <c r="A18" s="49">
        <v>43912</v>
      </c>
      <c r="B18" s="50" t="s">
        <v>227</v>
      </c>
      <c r="C18" s="51">
        <v>50</v>
      </c>
      <c r="E18">
        <v>43912</v>
      </c>
      <c r="F18" t="s">
        <v>227</v>
      </c>
      <c r="G18">
        <v>50</v>
      </c>
    </row>
    <row r="19" spans="1:7" x14ac:dyDescent="0.25">
      <c r="A19" s="49">
        <v>43913</v>
      </c>
      <c r="B19" s="50" t="s">
        <v>228</v>
      </c>
      <c r="C19" s="51">
        <v>42</v>
      </c>
      <c r="E19">
        <v>43913</v>
      </c>
      <c r="F19" t="s">
        <v>228</v>
      </c>
      <c r="G19">
        <v>42</v>
      </c>
    </row>
    <row r="20" spans="1:7" x14ac:dyDescent="0.25">
      <c r="A20" s="49">
        <v>43914</v>
      </c>
      <c r="B20" s="50" t="s">
        <v>229</v>
      </c>
      <c r="C20" s="51">
        <v>18</v>
      </c>
      <c r="E20">
        <v>43914</v>
      </c>
      <c r="F20" t="s">
        <v>229</v>
      </c>
      <c r="G20">
        <v>18</v>
      </c>
    </row>
    <row r="21" spans="1:7" x14ac:dyDescent="0.25">
      <c r="A21" s="49">
        <v>43915</v>
      </c>
      <c r="B21" s="50" t="s">
        <v>230</v>
      </c>
      <c r="C21" s="51">
        <v>105</v>
      </c>
      <c r="E21">
        <v>43915</v>
      </c>
      <c r="F21" t="s">
        <v>230</v>
      </c>
      <c r="G21">
        <v>105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0FC0-074B-4FB2-8B44-8A86A61CCDD1}">
  <dimension ref="A1:K28"/>
  <sheetViews>
    <sheetView workbookViewId="0">
      <selection sqref="A1:XFD1"/>
    </sheetView>
  </sheetViews>
  <sheetFormatPr defaultRowHeight="15" x14ac:dyDescent="0.25"/>
  <cols>
    <col min="1" max="1" width="11" customWidth="1"/>
    <col min="2" max="2" width="13.28515625" customWidth="1"/>
    <col min="3" max="3" width="17.5703125" customWidth="1"/>
    <col min="4" max="4" width="14.28515625" customWidth="1"/>
    <col min="5" max="5" width="10.28515625" customWidth="1"/>
    <col min="6" max="6" width="12.28515625" customWidth="1"/>
    <col min="8" max="8" width="9.140625" customWidth="1"/>
  </cols>
  <sheetData>
    <row r="1" spans="1:11" s="98" customFormat="1" ht="27" customHeight="1" thickBot="1" x14ac:dyDescent="0.3">
      <c r="A1" s="98" t="s">
        <v>16</v>
      </c>
    </row>
    <row r="2" spans="1:11" ht="15.75" thickTop="1" x14ac:dyDescent="0.25"/>
    <row r="3" spans="1:11" x14ac:dyDescent="0.25">
      <c r="A3" s="52" t="s">
        <v>233</v>
      </c>
      <c r="B3" s="52" t="s">
        <v>234</v>
      </c>
      <c r="C3" s="52" t="s">
        <v>235</v>
      </c>
      <c r="D3" s="52" t="s">
        <v>236</v>
      </c>
      <c r="E3" s="52" t="s">
        <v>237</v>
      </c>
      <c r="F3" s="52" t="s">
        <v>182</v>
      </c>
      <c r="H3" s="57" t="s">
        <v>237</v>
      </c>
      <c r="I3" s="58">
        <v>0.2</v>
      </c>
    </row>
    <row r="4" spans="1:11" x14ac:dyDescent="0.25">
      <c r="A4" s="53" t="s">
        <v>238</v>
      </c>
      <c r="B4" s="54">
        <v>43855</v>
      </c>
      <c r="C4" s="53" t="s">
        <v>239</v>
      </c>
      <c r="D4" s="55">
        <v>1505</v>
      </c>
      <c r="E4" s="56">
        <f t="shared" ref="E4:E28" si="0">D4*VAT</f>
        <v>301</v>
      </c>
      <c r="F4" s="56">
        <f>SUM(D4:E4)</f>
        <v>1806</v>
      </c>
    </row>
    <row r="5" spans="1:11" x14ac:dyDescent="0.25">
      <c r="A5" s="53" t="s">
        <v>240</v>
      </c>
      <c r="B5" s="54">
        <v>43856</v>
      </c>
      <c r="C5" s="53" t="s">
        <v>241</v>
      </c>
      <c r="D5" s="55">
        <v>1896</v>
      </c>
      <c r="E5" s="56">
        <f t="shared" si="0"/>
        <v>379.20000000000005</v>
      </c>
      <c r="F5" s="56">
        <f t="shared" ref="F5:F28" si="1">SUM(D5:E5)</f>
        <v>2275.1999999999998</v>
      </c>
    </row>
    <row r="6" spans="1:11" x14ac:dyDescent="0.25">
      <c r="A6" s="53" t="s">
        <v>242</v>
      </c>
      <c r="B6" s="54">
        <v>43857</v>
      </c>
      <c r="C6" s="53" t="s">
        <v>239</v>
      </c>
      <c r="D6" s="55">
        <v>938</v>
      </c>
      <c r="E6" s="56">
        <f t="shared" si="0"/>
        <v>187.60000000000002</v>
      </c>
      <c r="F6" s="56">
        <f t="shared" si="1"/>
        <v>1125.5999999999999</v>
      </c>
      <c r="H6" s="53"/>
      <c r="I6" s="99" t="s">
        <v>269</v>
      </c>
      <c r="J6" s="100"/>
      <c r="K6" s="100"/>
    </row>
    <row r="7" spans="1:11" x14ac:dyDescent="0.25">
      <c r="A7" s="53" t="s">
        <v>243</v>
      </c>
      <c r="B7" s="54">
        <v>43858</v>
      </c>
      <c r="C7" s="53" t="s">
        <v>244</v>
      </c>
      <c r="D7" s="55">
        <v>304</v>
      </c>
      <c r="E7" s="56">
        <f t="shared" si="0"/>
        <v>60.800000000000004</v>
      </c>
      <c r="F7" s="56">
        <f t="shared" si="1"/>
        <v>364.8</v>
      </c>
    </row>
    <row r="8" spans="1:11" x14ac:dyDescent="0.25">
      <c r="A8" s="53" t="s">
        <v>245</v>
      </c>
      <c r="B8" s="54">
        <v>43859</v>
      </c>
      <c r="C8" s="53" t="s">
        <v>246</v>
      </c>
      <c r="D8" s="55">
        <v>979</v>
      </c>
      <c r="E8" s="56">
        <f t="shared" si="0"/>
        <v>195.8</v>
      </c>
      <c r="F8" s="56">
        <f t="shared" si="1"/>
        <v>1174.8</v>
      </c>
      <c r="H8" s="59"/>
      <c r="I8" s="99" t="s">
        <v>270</v>
      </c>
      <c r="J8" s="100"/>
    </row>
    <row r="9" spans="1:11" x14ac:dyDescent="0.25">
      <c r="A9" s="53" t="s">
        <v>247</v>
      </c>
      <c r="B9" s="54">
        <v>43860</v>
      </c>
      <c r="C9" s="53" t="s">
        <v>246</v>
      </c>
      <c r="D9" s="55">
        <v>145</v>
      </c>
      <c r="E9" s="56">
        <f t="shared" si="0"/>
        <v>29</v>
      </c>
      <c r="F9" s="56">
        <f t="shared" si="1"/>
        <v>174</v>
      </c>
    </row>
    <row r="10" spans="1:11" x14ac:dyDescent="0.25">
      <c r="A10" s="53" t="s">
        <v>248</v>
      </c>
      <c r="B10" s="54">
        <v>43861</v>
      </c>
      <c r="C10" s="53" t="s">
        <v>249</v>
      </c>
      <c r="D10" s="55">
        <v>727</v>
      </c>
      <c r="E10" s="56">
        <f t="shared" si="0"/>
        <v>145.4</v>
      </c>
      <c r="F10" s="56">
        <f t="shared" si="1"/>
        <v>872.4</v>
      </c>
    </row>
    <row r="11" spans="1:11" x14ac:dyDescent="0.25">
      <c r="A11" s="53" t="s">
        <v>250</v>
      </c>
      <c r="B11" s="54">
        <v>43862</v>
      </c>
      <c r="C11" s="53" t="s">
        <v>251</v>
      </c>
      <c r="D11" s="55">
        <v>1694</v>
      </c>
      <c r="E11" s="56">
        <f t="shared" si="0"/>
        <v>338.8</v>
      </c>
      <c r="F11" s="56">
        <f t="shared" si="1"/>
        <v>2032.8</v>
      </c>
    </row>
    <row r="12" spans="1:11" x14ac:dyDescent="0.25">
      <c r="A12" s="53" t="s">
        <v>252</v>
      </c>
      <c r="B12" s="54">
        <v>43863</v>
      </c>
      <c r="C12" s="53" t="s">
        <v>239</v>
      </c>
      <c r="D12" s="55">
        <v>409</v>
      </c>
      <c r="E12" s="56">
        <f t="shared" si="0"/>
        <v>81.800000000000011</v>
      </c>
      <c r="F12" s="56">
        <f t="shared" si="1"/>
        <v>490.8</v>
      </c>
    </row>
    <row r="13" spans="1:11" x14ac:dyDescent="0.25">
      <c r="A13" s="53" t="s">
        <v>253</v>
      </c>
      <c r="B13" s="54">
        <v>43864</v>
      </c>
      <c r="C13" s="53" t="s">
        <v>239</v>
      </c>
      <c r="D13" s="55">
        <v>293</v>
      </c>
      <c r="E13" s="56">
        <f t="shared" si="0"/>
        <v>58.6</v>
      </c>
      <c r="F13" s="56">
        <f t="shared" si="1"/>
        <v>351.6</v>
      </c>
    </row>
    <row r="14" spans="1:11" x14ac:dyDescent="0.25">
      <c r="A14" s="53" t="s">
        <v>254</v>
      </c>
      <c r="B14" s="54">
        <v>43865</v>
      </c>
      <c r="C14" s="53" t="s">
        <v>244</v>
      </c>
      <c r="D14" s="55">
        <v>1223</v>
      </c>
      <c r="E14" s="56">
        <f t="shared" si="0"/>
        <v>244.60000000000002</v>
      </c>
      <c r="F14" s="56">
        <f t="shared" si="1"/>
        <v>1467.6</v>
      </c>
    </row>
    <row r="15" spans="1:11" x14ac:dyDescent="0.25">
      <c r="A15" s="53" t="s">
        <v>255</v>
      </c>
      <c r="B15" s="54">
        <v>43866</v>
      </c>
      <c r="C15" s="53" t="s">
        <v>241</v>
      </c>
      <c r="D15" s="55">
        <v>1791</v>
      </c>
      <c r="E15" s="56">
        <f t="shared" si="0"/>
        <v>358.20000000000005</v>
      </c>
      <c r="F15" s="56">
        <f t="shared" si="1"/>
        <v>2149.1999999999998</v>
      </c>
    </row>
    <row r="16" spans="1:11" x14ac:dyDescent="0.25">
      <c r="A16" s="53" t="s">
        <v>256</v>
      </c>
      <c r="B16" s="54">
        <v>43867</v>
      </c>
      <c r="C16" s="53" t="s">
        <v>241</v>
      </c>
      <c r="D16" s="55">
        <v>1827</v>
      </c>
      <c r="E16" s="56">
        <f t="shared" si="0"/>
        <v>365.40000000000003</v>
      </c>
      <c r="F16" s="56">
        <f t="shared" si="1"/>
        <v>2192.4</v>
      </c>
    </row>
    <row r="17" spans="1:6" x14ac:dyDescent="0.25">
      <c r="A17" s="53" t="s">
        <v>257</v>
      </c>
      <c r="B17" s="54">
        <v>43868</v>
      </c>
      <c r="C17" s="53" t="s">
        <v>239</v>
      </c>
      <c r="D17" s="55">
        <v>243</v>
      </c>
      <c r="E17" s="56">
        <f t="shared" si="0"/>
        <v>48.6</v>
      </c>
      <c r="F17" s="56">
        <f t="shared" si="1"/>
        <v>291.60000000000002</v>
      </c>
    </row>
    <row r="18" spans="1:6" x14ac:dyDescent="0.25">
      <c r="A18" s="53" t="s">
        <v>258</v>
      </c>
      <c r="B18" s="54">
        <v>43869</v>
      </c>
      <c r="C18" s="53" t="s">
        <v>244</v>
      </c>
      <c r="D18" s="55">
        <v>1603</v>
      </c>
      <c r="E18" s="56">
        <f t="shared" si="0"/>
        <v>320.60000000000002</v>
      </c>
      <c r="F18" s="56">
        <f t="shared" si="1"/>
        <v>1923.6</v>
      </c>
    </row>
    <row r="19" spans="1:6" x14ac:dyDescent="0.25">
      <c r="A19" s="53" t="s">
        <v>259</v>
      </c>
      <c r="B19" s="54">
        <v>43870</v>
      </c>
      <c r="C19" s="53" t="s">
        <v>241</v>
      </c>
      <c r="D19" s="55">
        <v>1872</v>
      </c>
      <c r="E19" s="56">
        <f t="shared" si="0"/>
        <v>374.40000000000003</v>
      </c>
      <c r="F19" s="56">
        <f t="shared" si="1"/>
        <v>2246.4</v>
      </c>
    </row>
    <row r="20" spans="1:6" x14ac:dyDescent="0.25">
      <c r="A20" s="53" t="s">
        <v>260</v>
      </c>
      <c r="B20" s="54">
        <v>43871</v>
      </c>
      <c r="C20" s="53" t="s">
        <v>241</v>
      </c>
      <c r="D20" s="55">
        <v>1717</v>
      </c>
      <c r="E20" s="56">
        <f t="shared" si="0"/>
        <v>343.40000000000003</v>
      </c>
      <c r="F20" s="56">
        <f t="shared" si="1"/>
        <v>2060.4</v>
      </c>
    </row>
    <row r="21" spans="1:6" x14ac:dyDescent="0.25">
      <c r="A21" s="53" t="s">
        <v>261</v>
      </c>
      <c r="B21" s="54">
        <v>43872</v>
      </c>
      <c r="C21" s="53" t="s">
        <v>239</v>
      </c>
      <c r="D21" s="55">
        <v>643</v>
      </c>
      <c r="E21" s="56">
        <f t="shared" si="0"/>
        <v>128.6</v>
      </c>
      <c r="F21" s="56">
        <f t="shared" si="1"/>
        <v>771.6</v>
      </c>
    </row>
    <row r="22" spans="1:6" x14ac:dyDescent="0.25">
      <c r="A22" s="53" t="s">
        <v>262</v>
      </c>
      <c r="B22" s="54">
        <v>43873</v>
      </c>
      <c r="C22" s="53" t="s">
        <v>244</v>
      </c>
      <c r="D22" s="55">
        <v>1924</v>
      </c>
      <c r="E22" s="56">
        <f t="shared" si="0"/>
        <v>384.8</v>
      </c>
      <c r="F22" s="56">
        <f t="shared" si="1"/>
        <v>2308.8000000000002</v>
      </c>
    </row>
    <row r="23" spans="1:6" x14ac:dyDescent="0.25">
      <c r="A23" s="53" t="s">
        <v>263</v>
      </c>
      <c r="B23" s="54">
        <v>43874</v>
      </c>
      <c r="C23" s="53" t="s">
        <v>251</v>
      </c>
      <c r="D23" s="55">
        <v>1767</v>
      </c>
      <c r="E23" s="56">
        <f t="shared" si="0"/>
        <v>353.40000000000003</v>
      </c>
      <c r="F23" s="56">
        <f t="shared" si="1"/>
        <v>2120.4</v>
      </c>
    </row>
    <row r="24" spans="1:6" x14ac:dyDescent="0.25">
      <c r="A24" s="53" t="s">
        <v>264</v>
      </c>
      <c r="B24" s="54">
        <v>43875</v>
      </c>
      <c r="C24" s="53" t="s">
        <v>239</v>
      </c>
      <c r="D24" s="55">
        <v>1042</v>
      </c>
      <c r="E24" s="56">
        <f t="shared" si="0"/>
        <v>208.4</v>
      </c>
      <c r="F24" s="56">
        <f t="shared" si="1"/>
        <v>1250.4000000000001</v>
      </c>
    </row>
    <row r="25" spans="1:6" x14ac:dyDescent="0.25">
      <c r="A25" s="53" t="s">
        <v>265</v>
      </c>
      <c r="B25" s="54">
        <v>43876</v>
      </c>
      <c r="C25" s="53" t="s">
        <v>239</v>
      </c>
      <c r="D25" s="55">
        <v>337</v>
      </c>
      <c r="E25" s="56">
        <f t="shared" si="0"/>
        <v>67.400000000000006</v>
      </c>
      <c r="F25" s="56">
        <f t="shared" si="1"/>
        <v>404.4</v>
      </c>
    </row>
    <row r="26" spans="1:6" x14ac:dyDescent="0.25">
      <c r="A26" s="53" t="s">
        <v>266</v>
      </c>
      <c r="B26" s="54">
        <v>43877</v>
      </c>
      <c r="C26" s="53" t="s">
        <v>239</v>
      </c>
      <c r="D26" s="55">
        <v>1727</v>
      </c>
      <c r="E26" s="56">
        <f t="shared" si="0"/>
        <v>345.40000000000003</v>
      </c>
      <c r="F26" s="56">
        <f t="shared" si="1"/>
        <v>2072.4</v>
      </c>
    </row>
    <row r="27" spans="1:6" x14ac:dyDescent="0.25">
      <c r="A27" s="53" t="s">
        <v>267</v>
      </c>
      <c r="B27" s="54">
        <v>43878</v>
      </c>
      <c r="C27" s="53" t="s">
        <v>244</v>
      </c>
      <c r="D27" s="55">
        <v>1174</v>
      </c>
      <c r="E27" s="56">
        <f t="shared" si="0"/>
        <v>234.8</v>
      </c>
      <c r="F27" s="56">
        <f t="shared" si="1"/>
        <v>1408.8</v>
      </c>
    </row>
    <row r="28" spans="1:6" x14ac:dyDescent="0.25">
      <c r="A28" s="53" t="s">
        <v>268</v>
      </c>
      <c r="B28" s="54">
        <v>43879</v>
      </c>
      <c r="C28" s="53" t="s">
        <v>244</v>
      </c>
      <c r="D28" s="55">
        <v>1000</v>
      </c>
      <c r="E28" s="56">
        <f t="shared" si="0"/>
        <v>200</v>
      </c>
      <c r="F28" s="56">
        <f t="shared" si="1"/>
        <v>1200</v>
      </c>
    </row>
  </sheetData>
  <mergeCells count="3">
    <mergeCell ref="A1:XFD1"/>
    <mergeCell ref="I6:K6"/>
    <mergeCell ref="I8:J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E44D-C553-498B-8A21-3708B190803E}">
  <dimension ref="A1:G30"/>
  <sheetViews>
    <sheetView workbookViewId="0">
      <selection activeCell="G2" sqref="G2"/>
    </sheetView>
  </sheetViews>
  <sheetFormatPr defaultRowHeight="15" x14ac:dyDescent="0.25"/>
  <cols>
    <col min="1" max="1" width="12.140625" bestFit="1" customWidth="1"/>
    <col min="2" max="2" width="19.140625" customWidth="1"/>
    <col min="3" max="3" width="12.85546875" customWidth="1"/>
    <col min="4" max="4" width="13.85546875" customWidth="1"/>
    <col min="6" max="6" width="15.85546875" bestFit="1" customWidth="1"/>
    <col min="7" max="7" width="12.5703125" customWidth="1"/>
  </cols>
  <sheetData>
    <row r="1" spans="1:7" s="98" customFormat="1" ht="29.25" customHeight="1" thickBot="1" x14ac:dyDescent="0.3">
      <c r="A1" s="98" t="s">
        <v>274</v>
      </c>
    </row>
    <row r="2" spans="1:7" ht="15.75" thickTop="1" x14ac:dyDescent="0.25"/>
    <row r="3" spans="1:7" x14ac:dyDescent="0.25">
      <c r="A3" s="60" t="s">
        <v>275</v>
      </c>
      <c r="B3" s="60" t="s">
        <v>22</v>
      </c>
      <c r="C3" s="60" t="s">
        <v>276</v>
      </c>
      <c r="D3" s="60" t="s">
        <v>25</v>
      </c>
    </row>
    <row r="4" spans="1:7" ht="15.75" thickBot="1" x14ac:dyDescent="0.3">
      <c r="A4" s="61">
        <v>19815</v>
      </c>
      <c r="B4" s="61" t="s">
        <v>78</v>
      </c>
      <c r="C4" s="61" t="s">
        <v>44</v>
      </c>
      <c r="D4" s="62">
        <v>35000</v>
      </c>
      <c r="F4" s="64" t="s">
        <v>289</v>
      </c>
      <c r="G4" s="65" t="s">
        <v>78</v>
      </c>
    </row>
    <row r="5" spans="1:7" ht="15.75" thickBot="1" x14ac:dyDescent="0.3">
      <c r="A5" s="61">
        <v>19816</v>
      </c>
      <c r="B5" s="61" t="s">
        <v>79</v>
      </c>
      <c r="C5" s="61" t="s">
        <v>44</v>
      </c>
      <c r="D5" s="62">
        <v>23000</v>
      </c>
      <c r="F5" s="63" t="s">
        <v>290</v>
      </c>
      <c r="G5" t="str">
        <f>INDEX(Dept,MATCH(G4,Employee_Name,0))</f>
        <v>Marketing</v>
      </c>
    </row>
    <row r="6" spans="1:7" ht="15.75" thickBot="1" x14ac:dyDescent="0.3">
      <c r="A6" s="61">
        <v>19817</v>
      </c>
      <c r="B6" s="61" t="s">
        <v>80</v>
      </c>
      <c r="C6" s="61" t="s">
        <v>277</v>
      </c>
      <c r="D6" s="62">
        <v>10200</v>
      </c>
      <c r="F6" s="63" t="s">
        <v>25</v>
      </c>
      <c r="G6">
        <f>INDEX(Salary,MATCH(G4,Employee_Name,0))</f>
        <v>35000</v>
      </c>
    </row>
    <row r="7" spans="1:7" x14ac:dyDescent="0.25">
      <c r="A7" s="61">
        <v>19818</v>
      </c>
      <c r="B7" s="61" t="s">
        <v>81</v>
      </c>
      <c r="C7" s="61" t="s">
        <v>29</v>
      </c>
      <c r="D7" s="62">
        <v>23300</v>
      </c>
    </row>
    <row r="8" spans="1:7" x14ac:dyDescent="0.25">
      <c r="A8" s="61">
        <v>19819</v>
      </c>
      <c r="B8" s="61" t="s">
        <v>82</v>
      </c>
      <c r="C8" s="61" t="s">
        <v>44</v>
      </c>
      <c r="D8" s="62">
        <v>34000</v>
      </c>
    </row>
    <row r="9" spans="1:7" x14ac:dyDescent="0.25">
      <c r="A9" s="61">
        <v>19820</v>
      </c>
      <c r="B9" s="61" t="s">
        <v>83</v>
      </c>
      <c r="C9" s="61" t="s">
        <v>277</v>
      </c>
      <c r="D9" s="62">
        <v>23000</v>
      </c>
    </row>
    <row r="10" spans="1:7" x14ac:dyDescent="0.25">
      <c r="A10" s="61">
        <v>19821</v>
      </c>
      <c r="B10" s="61" t="s">
        <v>84</v>
      </c>
      <c r="C10" s="61" t="s">
        <v>44</v>
      </c>
      <c r="D10" s="62">
        <v>34000</v>
      </c>
    </row>
    <row r="11" spans="1:7" x14ac:dyDescent="0.25">
      <c r="A11" s="61">
        <v>19822</v>
      </c>
      <c r="B11" s="61" t="s">
        <v>85</v>
      </c>
      <c r="C11" s="61" t="s">
        <v>44</v>
      </c>
      <c r="D11" s="62">
        <v>22000</v>
      </c>
    </row>
    <row r="12" spans="1:7" x14ac:dyDescent="0.25">
      <c r="A12" s="61">
        <v>19823</v>
      </c>
      <c r="B12" s="61" t="s">
        <v>86</v>
      </c>
      <c r="C12" s="61" t="s">
        <v>44</v>
      </c>
      <c r="D12" s="62">
        <v>10000</v>
      </c>
    </row>
    <row r="13" spans="1:7" x14ac:dyDescent="0.25">
      <c r="A13" s="61">
        <v>19824</v>
      </c>
      <c r="B13" s="61" t="s">
        <v>87</v>
      </c>
      <c r="C13" s="61" t="s">
        <v>44</v>
      </c>
      <c r="D13" s="62">
        <v>35000</v>
      </c>
    </row>
    <row r="14" spans="1:7" x14ac:dyDescent="0.25">
      <c r="A14" s="61">
        <v>19825</v>
      </c>
      <c r="B14" s="61" t="s">
        <v>88</v>
      </c>
      <c r="C14" s="61" t="s">
        <v>44</v>
      </c>
      <c r="D14" s="62">
        <v>32000</v>
      </c>
    </row>
    <row r="15" spans="1:7" x14ac:dyDescent="0.25">
      <c r="A15" s="61">
        <v>19826</v>
      </c>
      <c r="B15" s="61" t="s">
        <v>89</v>
      </c>
      <c r="C15" s="61" t="s">
        <v>277</v>
      </c>
      <c r="D15" s="62">
        <v>12000</v>
      </c>
    </row>
    <row r="16" spans="1:7" x14ac:dyDescent="0.25">
      <c r="A16" s="61">
        <v>19827</v>
      </c>
      <c r="B16" s="61" t="s">
        <v>90</v>
      </c>
      <c r="C16" s="61" t="s">
        <v>277</v>
      </c>
      <c r="D16" s="62">
        <v>21000</v>
      </c>
    </row>
    <row r="17" spans="1:4" x14ac:dyDescent="0.25">
      <c r="A17" s="61">
        <v>19828</v>
      </c>
      <c r="B17" s="61" t="s">
        <v>91</v>
      </c>
      <c r="C17" s="61" t="s">
        <v>29</v>
      </c>
      <c r="D17" s="62">
        <v>6700</v>
      </c>
    </row>
    <row r="18" spans="1:4" x14ac:dyDescent="0.25">
      <c r="A18" s="61">
        <v>19829</v>
      </c>
      <c r="B18" s="61" t="s">
        <v>92</v>
      </c>
      <c r="C18" s="61" t="s">
        <v>278</v>
      </c>
      <c r="D18" s="62">
        <v>6500</v>
      </c>
    </row>
    <row r="19" spans="1:4" x14ac:dyDescent="0.25">
      <c r="A19" s="61">
        <v>19830</v>
      </c>
      <c r="B19" s="61" t="s">
        <v>93</v>
      </c>
      <c r="C19" s="61" t="s">
        <v>277</v>
      </c>
      <c r="D19" s="62">
        <v>34333</v>
      </c>
    </row>
    <row r="20" spans="1:4" x14ac:dyDescent="0.25">
      <c r="A20" s="61">
        <v>19831</v>
      </c>
      <c r="B20" s="61" t="s">
        <v>279</v>
      </c>
      <c r="C20" s="61" t="s">
        <v>44</v>
      </c>
      <c r="D20" s="62">
        <v>34444</v>
      </c>
    </row>
    <row r="21" spans="1:4" x14ac:dyDescent="0.25">
      <c r="A21" s="61">
        <v>19832</v>
      </c>
      <c r="B21" s="61" t="s">
        <v>280</v>
      </c>
      <c r="C21" s="61" t="s">
        <v>44</v>
      </c>
      <c r="D21" s="62">
        <v>34444</v>
      </c>
    </row>
    <row r="22" spans="1:4" x14ac:dyDescent="0.25">
      <c r="A22" s="61">
        <v>19833</v>
      </c>
      <c r="B22" s="61" t="s">
        <v>167</v>
      </c>
      <c r="C22" s="61" t="s">
        <v>44</v>
      </c>
      <c r="D22" s="62">
        <v>33223</v>
      </c>
    </row>
    <row r="23" spans="1:4" x14ac:dyDescent="0.25">
      <c r="A23" s="61">
        <v>19834</v>
      </c>
      <c r="B23" s="61" t="s">
        <v>281</v>
      </c>
      <c r="C23" s="61" t="s">
        <v>44</v>
      </c>
      <c r="D23" s="62">
        <v>12123</v>
      </c>
    </row>
    <row r="24" spans="1:4" x14ac:dyDescent="0.25">
      <c r="A24" s="61">
        <v>19835</v>
      </c>
      <c r="B24" s="61" t="s">
        <v>282</v>
      </c>
      <c r="C24" s="61" t="s">
        <v>44</v>
      </c>
      <c r="D24" s="62">
        <v>12322</v>
      </c>
    </row>
    <row r="25" spans="1:4" x14ac:dyDescent="0.25">
      <c r="A25" s="61">
        <v>19836</v>
      </c>
      <c r="B25" s="61" t="s">
        <v>283</v>
      </c>
      <c r="C25" s="61" t="s">
        <v>29</v>
      </c>
      <c r="D25" s="62">
        <v>12322</v>
      </c>
    </row>
    <row r="26" spans="1:4" x14ac:dyDescent="0.25">
      <c r="A26" s="61">
        <v>19837</v>
      </c>
      <c r="B26" s="61" t="s">
        <v>284</v>
      </c>
      <c r="C26" s="61" t="s">
        <v>278</v>
      </c>
      <c r="D26" s="62">
        <v>23111</v>
      </c>
    </row>
    <row r="27" spans="1:4" x14ac:dyDescent="0.25">
      <c r="A27" s="61">
        <v>19838</v>
      </c>
      <c r="B27" s="61" t="s">
        <v>285</v>
      </c>
      <c r="C27" s="61" t="s">
        <v>29</v>
      </c>
      <c r="D27" s="62">
        <v>23111</v>
      </c>
    </row>
    <row r="28" spans="1:4" x14ac:dyDescent="0.25">
      <c r="A28" s="61">
        <v>19839</v>
      </c>
      <c r="B28" s="61" t="s">
        <v>286</v>
      </c>
      <c r="C28" s="61" t="s">
        <v>277</v>
      </c>
      <c r="D28" s="62">
        <v>12344</v>
      </c>
    </row>
    <row r="29" spans="1:4" x14ac:dyDescent="0.25">
      <c r="A29" s="61">
        <v>19840</v>
      </c>
      <c r="B29" s="61" t="s">
        <v>287</v>
      </c>
      <c r="C29" s="61" t="s">
        <v>29</v>
      </c>
      <c r="D29" s="62">
        <v>23211</v>
      </c>
    </row>
    <row r="30" spans="1:4" x14ac:dyDescent="0.25">
      <c r="A30" s="61">
        <v>19841</v>
      </c>
      <c r="B30" s="61" t="s">
        <v>288</v>
      </c>
      <c r="C30" s="61" t="s">
        <v>29</v>
      </c>
      <c r="D30" s="62">
        <v>12342</v>
      </c>
    </row>
  </sheetData>
  <sheetProtection algorithmName="SHA-512" hashValue="4D+XrhmKvJqT2RinU2LhZjAhWk/sNIoBKbXTTLeFZT3eRfhXlabLKonqjMi1sAq/h+vBOfzONhi0rpZAJFBMOw==" saltValue="PrsiN1imTR3w9YcfSgVTbQ==" spinCount="100000" sheet="1" objects="1" scenarios="1"/>
  <mergeCells count="1">
    <mergeCell ref="A1:XFD1"/>
  </mergeCells>
  <dataValidations count="1">
    <dataValidation type="list" allowBlank="1" showInputMessage="1" showErrorMessage="1" sqref="G4" xr:uid="{BC7F6011-91B3-4F5F-811F-B65A4777D1C0}">
      <formula1>$B$4:$B$30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51E0-4DE7-48FB-AEA5-F342666160DD}">
  <dimension ref="A1:K34"/>
  <sheetViews>
    <sheetView workbookViewId="0">
      <selection activeCell="G4" sqref="G4"/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3" width="9.7109375" bestFit="1" customWidth="1"/>
    <col min="6" max="6" width="10.5703125" bestFit="1" customWidth="1"/>
    <col min="7" max="7" width="8.7109375" bestFit="1" customWidth="1"/>
    <col min="8" max="8" width="10.5703125" bestFit="1" customWidth="1"/>
    <col min="10" max="10" width="25.5703125" bestFit="1" customWidth="1"/>
  </cols>
  <sheetData>
    <row r="1" spans="1:11" s="98" customFormat="1" ht="26.25" customHeight="1" thickBot="1" x14ac:dyDescent="0.3">
      <c r="A1" s="98" t="s">
        <v>20</v>
      </c>
    </row>
    <row r="2" spans="1:11" ht="19.5" thickTop="1" x14ac:dyDescent="0.25">
      <c r="A2" s="101" t="s">
        <v>291</v>
      </c>
      <c r="B2" s="101"/>
      <c r="C2" s="101"/>
      <c r="D2" s="101"/>
      <c r="E2" s="101"/>
      <c r="F2" s="101"/>
      <c r="G2" s="101"/>
      <c r="H2" s="101"/>
    </row>
    <row r="3" spans="1:11" x14ac:dyDescent="0.25">
      <c r="A3" s="66" t="s">
        <v>292</v>
      </c>
      <c r="B3" s="66" t="s">
        <v>179</v>
      </c>
      <c r="C3" s="66" t="s">
        <v>211</v>
      </c>
      <c r="D3" s="66" t="s">
        <v>293</v>
      </c>
      <c r="E3" s="66" t="s">
        <v>294</v>
      </c>
      <c r="F3" s="66" t="s">
        <v>295</v>
      </c>
      <c r="G3" s="66" t="s">
        <v>296</v>
      </c>
      <c r="H3" s="66" t="s">
        <v>182</v>
      </c>
      <c r="J3" s="1" t="s">
        <v>297</v>
      </c>
      <c r="K3">
        <v>1500</v>
      </c>
    </row>
    <row r="4" spans="1:11" x14ac:dyDescent="0.25">
      <c r="A4" s="6" t="s">
        <v>298</v>
      </c>
      <c r="B4" s="6" t="s">
        <v>299</v>
      </c>
      <c r="C4" s="67">
        <v>45659</v>
      </c>
      <c r="D4" s="8">
        <v>289.95</v>
      </c>
      <c r="E4" s="6">
        <v>5</v>
      </c>
      <c r="F4" s="56">
        <f>D4*E4</f>
        <v>1449.75</v>
      </c>
      <c r="G4" s="56">
        <f>IF(F4&gt;$K$3,F4*$K$4,0)</f>
        <v>0</v>
      </c>
      <c r="H4" s="56">
        <f>F4+G4</f>
        <v>1449.75</v>
      </c>
      <c r="J4" s="1" t="s">
        <v>300</v>
      </c>
      <c r="K4" s="9">
        <v>0.02</v>
      </c>
    </row>
    <row r="5" spans="1:11" x14ac:dyDescent="0.25">
      <c r="A5" s="6" t="s">
        <v>301</v>
      </c>
      <c r="B5" s="6" t="s">
        <v>302</v>
      </c>
      <c r="C5" s="67">
        <v>45659</v>
      </c>
      <c r="D5" s="8">
        <v>329.95</v>
      </c>
      <c r="E5" s="6">
        <v>2</v>
      </c>
      <c r="F5" s="56">
        <f t="shared" ref="F5:F34" si="0">D5*E5</f>
        <v>659.9</v>
      </c>
      <c r="G5" s="56">
        <f t="shared" ref="G5:G34" si="1">IF(F5&gt;$K$3,F5*$K$4,0)</f>
        <v>0</v>
      </c>
      <c r="H5" s="56">
        <f t="shared" ref="H5:H34" si="2">F5+G5</f>
        <v>659.9</v>
      </c>
    </row>
    <row r="6" spans="1:11" x14ac:dyDescent="0.25">
      <c r="A6" s="6" t="s">
        <v>303</v>
      </c>
      <c r="B6" s="6" t="s">
        <v>304</v>
      </c>
      <c r="C6" s="67">
        <v>45660</v>
      </c>
      <c r="D6" s="8">
        <v>64.95</v>
      </c>
      <c r="E6" s="6">
        <v>7</v>
      </c>
      <c r="F6" s="56">
        <f t="shared" si="0"/>
        <v>454.65000000000003</v>
      </c>
      <c r="G6" s="56">
        <f t="shared" si="1"/>
        <v>0</v>
      </c>
      <c r="H6" s="56">
        <f t="shared" si="2"/>
        <v>454.65000000000003</v>
      </c>
    </row>
    <row r="7" spans="1:11" x14ac:dyDescent="0.25">
      <c r="A7" s="6" t="s">
        <v>305</v>
      </c>
      <c r="B7" s="6" t="s">
        <v>304</v>
      </c>
      <c r="C7" s="67">
        <v>45661</v>
      </c>
      <c r="D7" s="8">
        <v>139.94999999999999</v>
      </c>
      <c r="E7" s="6">
        <v>3</v>
      </c>
      <c r="F7" s="56">
        <f t="shared" si="0"/>
        <v>419.84999999999997</v>
      </c>
      <c r="G7" s="56">
        <f t="shared" si="1"/>
        <v>0</v>
      </c>
      <c r="H7" s="56">
        <f t="shared" si="2"/>
        <v>419.84999999999997</v>
      </c>
    </row>
    <row r="8" spans="1:11" x14ac:dyDescent="0.25">
      <c r="A8" s="6" t="s">
        <v>303</v>
      </c>
      <c r="B8" s="6" t="s">
        <v>299</v>
      </c>
      <c r="C8" s="67">
        <v>45663</v>
      </c>
      <c r="D8" s="8">
        <v>64.95</v>
      </c>
      <c r="E8" s="6">
        <v>12</v>
      </c>
      <c r="F8" s="56">
        <f t="shared" si="0"/>
        <v>779.40000000000009</v>
      </c>
      <c r="G8" s="56">
        <f t="shared" si="1"/>
        <v>0</v>
      </c>
      <c r="H8" s="56">
        <f t="shared" si="2"/>
        <v>779.40000000000009</v>
      </c>
    </row>
    <row r="9" spans="1:11" x14ac:dyDescent="0.25">
      <c r="A9" s="6" t="s">
        <v>306</v>
      </c>
      <c r="B9" s="6" t="s">
        <v>304</v>
      </c>
      <c r="C9" s="67">
        <v>45664</v>
      </c>
      <c r="D9" s="8">
        <v>649.99</v>
      </c>
      <c r="E9" s="6">
        <v>4</v>
      </c>
      <c r="F9" s="56">
        <f t="shared" si="0"/>
        <v>2599.96</v>
      </c>
      <c r="G9" s="56">
        <f t="shared" si="1"/>
        <v>51.999200000000002</v>
      </c>
      <c r="H9" s="56">
        <f t="shared" si="2"/>
        <v>2651.9592000000002</v>
      </c>
    </row>
    <row r="10" spans="1:11" x14ac:dyDescent="0.25">
      <c r="A10" s="6" t="s">
        <v>303</v>
      </c>
      <c r="B10" s="6" t="s">
        <v>302</v>
      </c>
      <c r="C10" s="67">
        <v>45664</v>
      </c>
      <c r="D10" s="8">
        <v>64.95</v>
      </c>
      <c r="E10" s="6">
        <v>10</v>
      </c>
      <c r="F10" s="56">
        <f t="shared" si="0"/>
        <v>649.5</v>
      </c>
      <c r="G10" s="56">
        <f t="shared" si="1"/>
        <v>0</v>
      </c>
      <c r="H10" s="56">
        <f t="shared" si="2"/>
        <v>649.5</v>
      </c>
    </row>
    <row r="11" spans="1:11" x14ac:dyDescent="0.25">
      <c r="A11" s="6" t="s">
        <v>306</v>
      </c>
      <c r="B11" s="6" t="s">
        <v>302</v>
      </c>
      <c r="C11" s="67">
        <v>45667</v>
      </c>
      <c r="D11" s="8">
        <v>649.99</v>
      </c>
      <c r="E11" s="6">
        <v>2</v>
      </c>
      <c r="F11" s="56">
        <f t="shared" si="0"/>
        <v>1299.98</v>
      </c>
      <c r="G11" s="56">
        <f t="shared" si="1"/>
        <v>0</v>
      </c>
      <c r="H11" s="56">
        <f t="shared" si="2"/>
        <v>1299.98</v>
      </c>
    </row>
    <row r="12" spans="1:11" x14ac:dyDescent="0.25">
      <c r="A12" s="6" t="s">
        <v>301</v>
      </c>
      <c r="B12" s="6" t="s">
        <v>302</v>
      </c>
      <c r="C12" s="67">
        <v>45667</v>
      </c>
      <c r="D12" s="8">
        <v>329.95</v>
      </c>
      <c r="E12" s="6">
        <v>6</v>
      </c>
      <c r="F12" s="56">
        <f t="shared" si="0"/>
        <v>1979.6999999999998</v>
      </c>
      <c r="G12" s="56">
        <f t="shared" si="1"/>
        <v>39.593999999999994</v>
      </c>
      <c r="H12" s="56">
        <f t="shared" si="2"/>
        <v>2019.2939999999999</v>
      </c>
    </row>
    <row r="13" spans="1:11" x14ac:dyDescent="0.25">
      <c r="A13" s="6" t="s">
        <v>301</v>
      </c>
      <c r="B13" s="6" t="s">
        <v>302</v>
      </c>
      <c r="C13" s="67">
        <v>45667</v>
      </c>
      <c r="D13" s="8">
        <v>139.94999999999999</v>
      </c>
      <c r="E13" s="6">
        <v>6</v>
      </c>
      <c r="F13" s="56">
        <f t="shared" si="0"/>
        <v>839.69999999999993</v>
      </c>
      <c r="G13" s="56">
        <f t="shared" si="1"/>
        <v>0</v>
      </c>
      <c r="H13" s="56">
        <f t="shared" si="2"/>
        <v>839.69999999999993</v>
      </c>
    </row>
    <row r="14" spans="1:11" x14ac:dyDescent="0.25">
      <c r="A14" s="6" t="s">
        <v>305</v>
      </c>
      <c r="B14" s="6" t="s">
        <v>299</v>
      </c>
      <c r="C14" s="67">
        <v>45668</v>
      </c>
      <c r="D14" s="8">
        <v>329.95</v>
      </c>
      <c r="E14" s="6">
        <v>13</v>
      </c>
      <c r="F14" s="56">
        <f t="shared" si="0"/>
        <v>4289.3499999999995</v>
      </c>
      <c r="G14" s="56">
        <f t="shared" si="1"/>
        <v>85.786999999999992</v>
      </c>
      <c r="H14" s="56">
        <f t="shared" si="2"/>
        <v>4375.1369999999997</v>
      </c>
    </row>
    <row r="15" spans="1:11" x14ac:dyDescent="0.25">
      <c r="A15" s="6" t="s">
        <v>298</v>
      </c>
      <c r="B15" s="6" t="s">
        <v>302</v>
      </c>
      <c r="C15" s="67">
        <v>45668</v>
      </c>
      <c r="D15" s="8">
        <v>329.95</v>
      </c>
      <c r="E15" s="6">
        <v>4</v>
      </c>
      <c r="F15" s="56">
        <f t="shared" si="0"/>
        <v>1319.8</v>
      </c>
      <c r="G15" s="56">
        <f t="shared" si="1"/>
        <v>0</v>
      </c>
      <c r="H15" s="56">
        <f t="shared" si="2"/>
        <v>1319.8</v>
      </c>
    </row>
    <row r="16" spans="1:11" x14ac:dyDescent="0.25">
      <c r="A16" s="6" t="s">
        <v>303</v>
      </c>
      <c r="B16" s="6" t="s">
        <v>299</v>
      </c>
      <c r="C16" s="67">
        <v>45669</v>
      </c>
      <c r="D16" s="8">
        <v>139.94999999999999</v>
      </c>
      <c r="E16" s="6">
        <v>11</v>
      </c>
      <c r="F16" s="56">
        <f t="shared" si="0"/>
        <v>1539.4499999999998</v>
      </c>
      <c r="G16" s="56">
        <f t="shared" si="1"/>
        <v>30.788999999999998</v>
      </c>
      <c r="H16" s="56">
        <f t="shared" si="2"/>
        <v>1570.2389999999998</v>
      </c>
    </row>
    <row r="17" spans="1:8" x14ac:dyDescent="0.25">
      <c r="A17" s="6" t="s">
        <v>306</v>
      </c>
      <c r="B17" s="6" t="s">
        <v>299</v>
      </c>
      <c r="C17" s="67">
        <v>45669</v>
      </c>
      <c r="D17" s="8">
        <v>299.95</v>
      </c>
      <c r="E17" s="6">
        <v>7</v>
      </c>
      <c r="F17" s="56">
        <f t="shared" si="0"/>
        <v>2099.65</v>
      </c>
      <c r="G17" s="56">
        <f t="shared" si="1"/>
        <v>41.993000000000002</v>
      </c>
      <c r="H17" s="56">
        <f t="shared" si="2"/>
        <v>2141.643</v>
      </c>
    </row>
    <row r="18" spans="1:8" x14ac:dyDescent="0.25">
      <c r="A18" s="6" t="s">
        <v>303</v>
      </c>
      <c r="B18" s="6" t="s">
        <v>304</v>
      </c>
      <c r="C18" s="67">
        <v>45670</v>
      </c>
      <c r="D18" s="8">
        <v>64.95</v>
      </c>
      <c r="E18" s="6">
        <v>11</v>
      </c>
      <c r="F18" s="56">
        <f t="shared" si="0"/>
        <v>714.45</v>
      </c>
      <c r="G18" s="56">
        <f t="shared" si="1"/>
        <v>0</v>
      </c>
      <c r="H18" s="56">
        <f t="shared" si="2"/>
        <v>714.45</v>
      </c>
    </row>
    <row r="19" spans="1:8" x14ac:dyDescent="0.25">
      <c r="A19" s="6" t="s">
        <v>306</v>
      </c>
      <c r="B19" s="6" t="s">
        <v>299</v>
      </c>
      <c r="C19" s="67">
        <v>45670</v>
      </c>
      <c r="D19" s="8">
        <v>649.95000000000005</v>
      </c>
      <c r="E19" s="6">
        <v>6</v>
      </c>
      <c r="F19" s="56">
        <f t="shared" si="0"/>
        <v>3899.7000000000003</v>
      </c>
      <c r="G19" s="56">
        <f t="shared" si="1"/>
        <v>77.994000000000014</v>
      </c>
      <c r="H19" s="56">
        <f t="shared" si="2"/>
        <v>3977.6940000000004</v>
      </c>
    </row>
    <row r="20" spans="1:8" x14ac:dyDescent="0.25">
      <c r="A20" s="6" t="s">
        <v>305</v>
      </c>
      <c r="B20" s="6" t="s">
        <v>302</v>
      </c>
      <c r="C20" s="67">
        <v>45675</v>
      </c>
      <c r="D20" s="8">
        <v>139.94999999999999</v>
      </c>
      <c r="E20" s="6">
        <v>10</v>
      </c>
      <c r="F20" s="56">
        <f t="shared" si="0"/>
        <v>1399.5</v>
      </c>
      <c r="G20" s="56">
        <f t="shared" si="1"/>
        <v>0</v>
      </c>
      <c r="H20" s="56">
        <f t="shared" si="2"/>
        <v>1399.5</v>
      </c>
    </row>
    <row r="21" spans="1:8" x14ac:dyDescent="0.25">
      <c r="A21" s="6" t="s">
        <v>298</v>
      </c>
      <c r="B21" s="6" t="s">
        <v>299</v>
      </c>
      <c r="C21" s="67">
        <v>45676</v>
      </c>
      <c r="D21" s="8">
        <v>299.95</v>
      </c>
      <c r="E21" s="6">
        <v>14</v>
      </c>
      <c r="F21" s="56">
        <f t="shared" si="0"/>
        <v>4199.3</v>
      </c>
      <c r="G21" s="56">
        <f t="shared" si="1"/>
        <v>83.986000000000004</v>
      </c>
      <c r="H21" s="56">
        <f t="shared" si="2"/>
        <v>4283.2860000000001</v>
      </c>
    </row>
    <row r="22" spans="1:8" x14ac:dyDescent="0.25">
      <c r="A22" s="6" t="s">
        <v>301</v>
      </c>
      <c r="B22" s="6" t="s">
        <v>304</v>
      </c>
      <c r="C22" s="67">
        <v>45677</v>
      </c>
      <c r="D22" s="8">
        <v>329.95</v>
      </c>
      <c r="E22" s="6">
        <v>4</v>
      </c>
      <c r="F22" s="56">
        <f t="shared" si="0"/>
        <v>1319.8</v>
      </c>
      <c r="G22" s="56">
        <f t="shared" si="1"/>
        <v>0</v>
      </c>
      <c r="H22" s="56">
        <f t="shared" si="2"/>
        <v>1319.8</v>
      </c>
    </row>
    <row r="23" spans="1:8" x14ac:dyDescent="0.25">
      <c r="A23" s="6" t="s">
        <v>303</v>
      </c>
      <c r="B23" s="6" t="s">
        <v>299</v>
      </c>
      <c r="C23" s="67">
        <v>45679</v>
      </c>
      <c r="D23" s="8">
        <v>64.95</v>
      </c>
      <c r="E23" s="6">
        <v>11</v>
      </c>
      <c r="F23" s="56">
        <f t="shared" si="0"/>
        <v>714.45</v>
      </c>
      <c r="G23" s="56">
        <f t="shared" si="1"/>
        <v>0</v>
      </c>
      <c r="H23" s="56">
        <f t="shared" si="2"/>
        <v>714.45</v>
      </c>
    </row>
    <row r="24" spans="1:8" x14ac:dyDescent="0.25">
      <c r="A24" s="6" t="s">
        <v>301</v>
      </c>
      <c r="B24" s="6" t="s">
        <v>302</v>
      </c>
      <c r="C24" s="67">
        <v>45681</v>
      </c>
      <c r="D24" s="8">
        <v>649.95000000000005</v>
      </c>
      <c r="E24" s="6">
        <v>6</v>
      </c>
      <c r="F24" s="56">
        <f t="shared" si="0"/>
        <v>3899.7000000000003</v>
      </c>
      <c r="G24" s="56">
        <f t="shared" si="1"/>
        <v>77.994000000000014</v>
      </c>
      <c r="H24" s="56">
        <f t="shared" si="2"/>
        <v>3977.6940000000004</v>
      </c>
    </row>
    <row r="25" spans="1:8" x14ac:dyDescent="0.25">
      <c r="A25" s="6" t="s">
        <v>303</v>
      </c>
      <c r="B25" s="6" t="s">
        <v>302</v>
      </c>
      <c r="C25" s="67">
        <v>45681</v>
      </c>
      <c r="D25" s="8">
        <v>329.95</v>
      </c>
      <c r="E25" s="6">
        <v>4</v>
      </c>
      <c r="F25" s="56">
        <f t="shared" si="0"/>
        <v>1319.8</v>
      </c>
      <c r="G25" s="56">
        <f t="shared" si="1"/>
        <v>0</v>
      </c>
      <c r="H25" s="56">
        <f t="shared" si="2"/>
        <v>1319.8</v>
      </c>
    </row>
    <row r="26" spans="1:8" x14ac:dyDescent="0.25">
      <c r="A26" s="6" t="s">
        <v>298</v>
      </c>
      <c r="B26" s="6" t="s">
        <v>304</v>
      </c>
      <c r="C26" s="67">
        <v>45682</v>
      </c>
      <c r="D26" s="8">
        <v>139.94999999999999</v>
      </c>
      <c r="E26" s="6">
        <v>11</v>
      </c>
      <c r="F26" s="56">
        <f t="shared" si="0"/>
        <v>1539.4499999999998</v>
      </c>
      <c r="G26" s="56">
        <f t="shared" si="1"/>
        <v>30.788999999999998</v>
      </c>
      <c r="H26" s="56">
        <f t="shared" si="2"/>
        <v>1570.2389999999998</v>
      </c>
    </row>
    <row r="27" spans="1:8" x14ac:dyDescent="0.25">
      <c r="A27" s="6" t="s">
        <v>303</v>
      </c>
      <c r="B27" s="6" t="s">
        <v>299</v>
      </c>
      <c r="C27" s="67">
        <v>45683</v>
      </c>
      <c r="D27" s="8">
        <v>299.95</v>
      </c>
      <c r="E27" s="6">
        <v>7</v>
      </c>
      <c r="F27" s="56">
        <f t="shared" si="0"/>
        <v>2099.65</v>
      </c>
      <c r="G27" s="56">
        <f t="shared" si="1"/>
        <v>41.993000000000002</v>
      </c>
      <c r="H27" s="56">
        <f t="shared" si="2"/>
        <v>2141.643</v>
      </c>
    </row>
    <row r="28" spans="1:8" x14ac:dyDescent="0.25">
      <c r="A28" s="6" t="s">
        <v>301</v>
      </c>
      <c r="B28" s="6" t="s">
        <v>299</v>
      </c>
      <c r="C28" s="67">
        <v>45683</v>
      </c>
      <c r="D28" s="8">
        <v>64.95</v>
      </c>
      <c r="E28" s="6">
        <v>11</v>
      </c>
      <c r="F28" s="56">
        <f t="shared" si="0"/>
        <v>714.45</v>
      </c>
      <c r="G28" s="56">
        <f t="shared" si="1"/>
        <v>0</v>
      </c>
      <c r="H28" s="56">
        <f t="shared" si="2"/>
        <v>714.45</v>
      </c>
    </row>
    <row r="29" spans="1:8" x14ac:dyDescent="0.25">
      <c r="A29" s="6" t="s">
        <v>303</v>
      </c>
      <c r="B29" s="6" t="s">
        <v>304</v>
      </c>
      <c r="C29" s="67">
        <v>45683</v>
      </c>
      <c r="D29" s="8">
        <v>649.95000000000005</v>
      </c>
      <c r="E29" s="6">
        <v>6</v>
      </c>
      <c r="F29" s="56">
        <f t="shared" si="0"/>
        <v>3899.7000000000003</v>
      </c>
      <c r="G29" s="56">
        <f t="shared" si="1"/>
        <v>77.994000000000014</v>
      </c>
      <c r="H29" s="56">
        <f t="shared" si="2"/>
        <v>3977.6940000000004</v>
      </c>
    </row>
    <row r="30" spans="1:8" x14ac:dyDescent="0.25">
      <c r="A30" s="6" t="s">
        <v>298</v>
      </c>
      <c r="B30" s="6" t="s">
        <v>302</v>
      </c>
      <c r="C30" s="67">
        <v>45684</v>
      </c>
      <c r="D30" s="8">
        <v>139.94999999999999</v>
      </c>
      <c r="E30" s="6">
        <v>10</v>
      </c>
      <c r="F30" s="56">
        <f t="shared" si="0"/>
        <v>1399.5</v>
      </c>
      <c r="G30" s="56">
        <f t="shared" si="1"/>
        <v>0</v>
      </c>
      <c r="H30" s="56">
        <f t="shared" si="2"/>
        <v>1399.5</v>
      </c>
    </row>
    <row r="31" spans="1:8" x14ac:dyDescent="0.25">
      <c r="A31" s="6" t="s">
        <v>301</v>
      </c>
      <c r="B31" s="6" t="s">
        <v>304</v>
      </c>
      <c r="C31" s="67">
        <v>45684</v>
      </c>
      <c r="D31" s="8">
        <v>299.95</v>
      </c>
      <c r="E31" s="6">
        <v>14</v>
      </c>
      <c r="F31" s="56">
        <f t="shared" si="0"/>
        <v>4199.3</v>
      </c>
      <c r="G31" s="56">
        <f t="shared" si="1"/>
        <v>83.986000000000004</v>
      </c>
      <c r="H31" s="56">
        <f t="shared" si="2"/>
        <v>4283.2860000000001</v>
      </c>
    </row>
    <row r="32" spans="1:8" x14ac:dyDescent="0.25">
      <c r="A32" s="6" t="s">
        <v>301</v>
      </c>
      <c r="B32" s="6" t="s">
        <v>299</v>
      </c>
      <c r="C32" s="67">
        <v>45685</v>
      </c>
      <c r="D32" s="8">
        <v>329.95</v>
      </c>
      <c r="E32" s="6">
        <v>4</v>
      </c>
      <c r="F32" s="56">
        <f t="shared" si="0"/>
        <v>1319.8</v>
      </c>
      <c r="G32" s="56">
        <f t="shared" si="1"/>
        <v>0</v>
      </c>
      <c r="H32" s="56">
        <f t="shared" si="2"/>
        <v>1319.8</v>
      </c>
    </row>
    <row r="33" spans="1:8" x14ac:dyDescent="0.25">
      <c r="A33" s="6" t="s">
        <v>306</v>
      </c>
      <c r="B33" s="6" t="s">
        <v>304</v>
      </c>
      <c r="C33" s="67">
        <v>45686</v>
      </c>
      <c r="D33" s="8">
        <v>64.95</v>
      </c>
      <c r="E33" s="6">
        <v>11</v>
      </c>
      <c r="F33" s="56">
        <f t="shared" si="0"/>
        <v>714.45</v>
      </c>
      <c r="G33" s="56">
        <f t="shared" si="1"/>
        <v>0</v>
      </c>
      <c r="H33" s="56">
        <f t="shared" si="2"/>
        <v>714.45</v>
      </c>
    </row>
    <row r="34" spans="1:8" x14ac:dyDescent="0.25">
      <c r="A34" s="6" t="s">
        <v>306</v>
      </c>
      <c r="B34" s="6" t="s">
        <v>302</v>
      </c>
      <c r="C34" s="67">
        <v>45687</v>
      </c>
      <c r="D34" s="8">
        <v>649.95000000000005</v>
      </c>
      <c r="E34" s="6">
        <v>6</v>
      </c>
      <c r="F34" s="56">
        <f t="shared" si="0"/>
        <v>3899.7000000000003</v>
      </c>
      <c r="G34" s="56">
        <f t="shared" si="1"/>
        <v>77.994000000000014</v>
      </c>
      <c r="H34" s="56">
        <f t="shared" si="2"/>
        <v>3977.6940000000004</v>
      </c>
    </row>
  </sheetData>
  <mergeCells count="2">
    <mergeCell ref="A1:XFD1"/>
    <mergeCell ref="A2:H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2AD7-4CA5-4230-BEAE-9F484B370500}">
  <dimension ref="A1:K30"/>
  <sheetViews>
    <sheetView workbookViewId="0">
      <selection activeCell="J11" sqref="J11"/>
    </sheetView>
  </sheetViews>
  <sheetFormatPr defaultRowHeight="15" x14ac:dyDescent="0.25"/>
  <cols>
    <col min="1" max="1" width="17.5703125" bestFit="1" customWidth="1"/>
    <col min="4" max="4" width="10.7109375" bestFit="1" customWidth="1"/>
    <col min="5" max="5" width="5.85546875" bestFit="1" customWidth="1"/>
    <col min="6" max="6" width="12.5703125" bestFit="1" customWidth="1"/>
    <col min="7" max="7" width="10" bestFit="1" customWidth="1"/>
    <col min="8" max="8" width="10.5703125" bestFit="1" customWidth="1"/>
    <col min="10" max="10" width="12.28515625" customWidth="1"/>
  </cols>
  <sheetData>
    <row r="1" spans="1:11" s="98" customFormat="1" ht="30" customHeight="1" thickBot="1" x14ac:dyDescent="0.3">
      <c r="A1" s="98" t="s">
        <v>19</v>
      </c>
    </row>
    <row r="2" spans="1:11" ht="15.75" thickTop="1" x14ac:dyDescent="0.25"/>
    <row r="3" spans="1:11" s="43" customFormat="1" x14ac:dyDescent="0.25">
      <c r="A3" s="68" t="s">
        <v>307</v>
      </c>
      <c r="B3" s="68" t="s">
        <v>308</v>
      </c>
      <c r="C3" s="68" t="s">
        <v>23</v>
      </c>
      <c r="D3" s="68" t="s">
        <v>309</v>
      </c>
      <c r="E3" s="68" t="s">
        <v>24</v>
      </c>
      <c r="F3" s="68" t="s">
        <v>25</v>
      </c>
      <c r="G3" s="68" t="s">
        <v>310</v>
      </c>
      <c r="H3" s="68" t="s">
        <v>311</v>
      </c>
      <c r="J3" s="69" t="s">
        <v>312</v>
      </c>
      <c r="K3" s="69" t="s">
        <v>311</v>
      </c>
    </row>
    <row r="4" spans="1:11" x14ac:dyDescent="0.25">
      <c r="A4" s="6" t="s">
        <v>78</v>
      </c>
      <c r="B4" s="6" t="s">
        <v>313</v>
      </c>
      <c r="C4" s="6" t="s">
        <v>34</v>
      </c>
      <c r="D4" s="67">
        <v>37249</v>
      </c>
      <c r="E4" s="6">
        <v>20</v>
      </c>
      <c r="F4" s="8">
        <v>60981</v>
      </c>
      <c r="G4" s="6">
        <v>1</v>
      </c>
      <c r="H4" s="8">
        <f>IF(G4=$J$4,$K$4,IF(G4=$J$5,$K$5,IF(G4=$J$6,$K$6,IF(G4=$J$7,$K$7,IF(G4&lt;=$J$8,$K$8,0)))))</f>
        <v>0</v>
      </c>
      <c r="J4" s="6">
        <v>5</v>
      </c>
      <c r="K4" s="6">
        <v>3000</v>
      </c>
    </row>
    <row r="5" spans="1:11" x14ac:dyDescent="0.25">
      <c r="A5" s="6" t="s">
        <v>79</v>
      </c>
      <c r="B5" s="6" t="s">
        <v>313</v>
      </c>
      <c r="C5" s="6" t="s">
        <v>34</v>
      </c>
      <c r="D5" s="67">
        <v>41673</v>
      </c>
      <c r="E5" s="6">
        <v>7</v>
      </c>
      <c r="F5" s="8">
        <v>60915</v>
      </c>
      <c r="G5" s="6">
        <v>4</v>
      </c>
      <c r="H5" s="8">
        <f t="shared" ref="H5:H30" si="0">IF(G5=$J$4,$K$4,IF(G5=$J$5,$K$5,IF(G5=$J$6,$K$6,IF(G5=$J$7,$K$7,IF(G5&lt;=$J$8,$K$8,0)))))</f>
        <v>1500</v>
      </c>
      <c r="J5" s="6">
        <v>4</v>
      </c>
      <c r="K5" s="6">
        <v>1500</v>
      </c>
    </row>
    <row r="6" spans="1:11" x14ac:dyDescent="0.25">
      <c r="A6" s="6" t="s">
        <v>80</v>
      </c>
      <c r="B6" s="6" t="s">
        <v>313</v>
      </c>
      <c r="C6" s="6" t="s">
        <v>34</v>
      </c>
      <c r="D6" s="67">
        <v>40225</v>
      </c>
      <c r="E6" s="6">
        <v>11</v>
      </c>
      <c r="F6" s="8">
        <v>97071</v>
      </c>
      <c r="G6" s="6">
        <v>5</v>
      </c>
      <c r="H6" s="8">
        <f>IF(G6=$J$4,$K$4,IF(G6=$J$5,$K$5,IF(G6=$J$6,$K$6,IF(G6=$J$7,$K$7,IF(G6&lt;=$J$8,$K$8,0)))))</f>
        <v>3000</v>
      </c>
      <c r="J6" s="6">
        <v>3</v>
      </c>
      <c r="K6" s="6">
        <v>900</v>
      </c>
    </row>
    <row r="7" spans="1:11" x14ac:dyDescent="0.25">
      <c r="A7" s="6" t="s">
        <v>81</v>
      </c>
      <c r="B7" s="6" t="s">
        <v>314</v>
      </c>
      <c r="C7" s="6" t="s">
        <v>34</v>
      </c>
      <c r="D7" s="67">
        <v>42229</v>
      </c>
      <c r="E7" s="6">
        <v>6</v>
      </c>
      <c r="F7" s="8">
        <v>115421</v>
      </c>
      <c r="G7" s="6">
        <v>3</v>
      </c>
      <c r="H7" s="8">
        <f t="shared" si="0"/>
        <v>900</v>
      </c>
      <c r="J7" s="6">
        <v>2</v>
      </c>
      <c r="K7" s="6">
        <v>100</v>
      </c>
    </row>
    <row r="8" spans="1:11" x14ac:dyDescent="0.25">
      <c r="A8" s="6" t="s">
        <v>82</v>
      </c>
      <c r="B8" s="6" t="s">
        <v>315</v>
      </c>
      <c r="C8" s="6" t="s">
        <v>34</v>
      </c>
      <c r="D8" s="67">
        <v>40525</v>
      </c>
      <c r="E8" s="6">
        <v>11</v>
      </c>
      <c r="F8" s="8">
        <v>115547</v>
      </c>
      <c r="G8" s="6">
        <v>4</v>
      </c>
      <c r="H8" s="8">
        <f t="shared" si="0"/>
        <v>1500</v>
      </c>
      <c r="J8" s="6">
        <v>1</v>
      </c>
      <c r="K8" s="6">
        <v>0</v>
      </c>
    </row>
    <row r="9" spans="1:11" x14ac:dyDescent="0.25">
      <c r="A9" s="6" t="s">
        <v>83</v>
      </c>
      <c r="B9" s="6" t="s">
        <v>316</v>
      </c>
      <c r="C9" s="6" t="s">
        <v>42</v>
      </c>
      <c r="D9" s="67">
        <v>39828</v>
      </c>
      <c r="E9" s="6">
        <v>12</v>
      </c>
      <c r="F9" s="8">
        <v>69212</v>
      </c>
      <c r="G9" s="6">
        <v>2</v>
      </c>
      <c r="H9" s="8">
        <f t="shared" si="0"/>
        <v>100</v>
      </c>
    </row>
    <row r="10" spans="1:11" x14ac:dyDescent="0.25">
      <c r="A10" s="6" t="s">
        <v>84</v>
      </c>
      <c r="B10" s="6" t="s">
        <v>314</v>
      </c>
      <c r="C10" s="6" t="s">
        <v>42</v>
      </c>
      <c r="D10" s="67">
        <v>37295</v>
      </c>
      <c r="E10" s="6">
        <v>19</v>
      </c>
      <c r="F10" s="8">
        <v>34234</v>
      </c>
      <c r="G10" s="6">
        <v>1</v>
      </c>
      <c r="H10" s="8">
        <f t="shared" si="0"/>
        <v>0</v>
      </c>
    </row>
    <row r="11" spans="1:11" x14ac:dyDescent="0.25">
      <c r="A11" s="6" t="s">
        <v>85</v>
      </c>
      <c r="B11" s="6" t="s">
        <v>317</v>
      </c>
      <c r="C11" s="6" t="s">
        <v>42</v>
      </c>
      <c r="D11" s="67">
        <v>40267</v>
      </c>
      <c r="E11" s="6">
        <v>11</v>
      </c>
      <c r="F11" s="8">
        <v>234234</v>
      </c>
      <c r="G11" s="6">
        <v>2</v>
      </c>
      <c r="H11" s="8">
        <f t="shared" si="0"/>
        <v>100</v>
      </c>
    </row>
    <row r="12" spans="1:11" x14ac:dyDescent="0.25">
      <c r="A12" s="6" t="s">
        <v>86</v>
      </c>
      <c r="B12" s="6" t="s">
        <v>316</v>
      </c>
      <c r="C12" s="6" t="s">
        <v>42</v>
      </c>
      <c r="D12" s="67">
        <v>40260</v>
      </c>
      <c r="E12" s="6">
        <v>19</v>
      </c>
      <c r="F12" s="8">
        <v>12311</v>
      </c>
      <c r="G12" s="6">
        <v>4</v>
      </c>
      <c r="H12" s="8">
        <f t="shared" si="0"/>
        <v>1500</v>
      </c>
    </row>
    <row r="13" spans="1:11" x14ac:dyDescent="0.25">
      <c r="A13" s="6" t="s">
        <v>87</v>
      </c>
      <c r="B13" s="6" t="s">
        <v>314</v>
      </c>
      <c r="C13" s="6" t="s">
        <v>42</v>
      </c>
      <c r="D13" s="67">
        <v>38847</v>
      </c>
      <c r="E13" s="6">
        <v>16</v>
      </c>
      <c r="F13" s="8">
        <v>32234</v>
      </c>
      <c r="G13" s="6">
        <v>3</v>
      </c>
      <c r="H13" s="8">
        <f t="shared" si="0"/>
        <v>900</v>
      </c>
    </row>
    <row r="14" spans="1:11" x14ac:dyDescent="0.25">
      <c r="A14" s="6" t="s">
        <v>88</v>
      </c>
      <c r="B14" s="6" t="s">
        <v>317</v>
      </c>
      <c r="C14" s="6" t="s">
        <v>42</v>
      </c>
      <c r="D14" s="67">
        <v>37249</v>
      </c>
      <c r="E14" s="6">
        <v>15</v>
      </c>
      <c r="F14" s="8">
        <v>53432</v>
      </c>
      <c r="G14" s="6">
        <v>4</v>
      </c>
      <c r="H14" s="8">
        <f t="shared" si="0"/>
        <v>1500</v>
      </c>
    </row>
    <row r="15" spans="1:11" x14ac:dyDescent="0.25">
      <c r="A15" s="6" t="s">
        <v>89</v>
      </c>
      <c r="B15" s="6" t="s">
        <v>317</v>
      </c>
      <c r="C15" s="6" t="s">
        <v>42</v>
      </c>
      <c r="D15" s="67">
        <v>41673</v>
      </c>
      <c r="E15" s="6">
        <v>14</v>
      </c>
      <c r="F15" s="8">
        <v>23421</v>
      </c>
      <c r="G15" s="6">
        <v>3</v>
      </c>
      <c r="H15" s="8">
        <f t="shared" si="0"/>
        <v>900</v>
      </c>
    </row>
    <row r="16" spans="1:11" x14ac:dyDescent="0.25">
      <c r="A16" s="6" t="s">
        <v>90</v>
      </c>
      <c r="B16" s="6" t="s">
        <v>317</v>
      </c>
      <c r="C16" s="6" t="s">
        <v>42</v>
      </c>
      <c r="D16" s="67">
        <v>40225</v>
      </c>
      <c r="E16" s="6">
        <v>7</v>
      </c>
      <c r="F16" s="8">
        <v>50095</v>
      </c>
      <c r="G16" s="6">
        <v>5</v>
      </c>
      <c r="H16" s="8">
        <f t="shared" si="0"/>
        <v>3000</v>
      </c>
    </row>
    <row r="17" spans="1:8" x14ac:dyDescent="0.25">
      <c r="A17" s="6" t="s">
        <v>91</v>
      </c>
      <c r="B17" s="6" t="s">
        <v>316</v>
      </c>
      <c r="C17" s="6" t="s">
        <v>42</v>
      </c>
      <c r="D17" s="67">
        <v>42229</v>
      </c>
      <c r="E17" s="6">
        <v>6</v>
      </c>
      <c r="F17" s="8">
        <v>46148</v>
      </c>
      <c r="G17" s="6">
        <v>3</v>
      </c>
      <c r="H17" s="8">
        <f t="shared" si="0"/>
        <v>900</v>
      </c>
    </row>
    <row r="18" spans="1:8" x14ac:dyDescent="0.25">
      <c r="A18" s="6" t="s">
        <v>92</v>
      </c>
      <c r="B18" s="6" t="s">
        <v>315</v>
      </c>
      <c r="C18" s="6" t="s">
        <v>42</v>
      </c>
      <c r="D18" s="67">
        <v>40525</v>
      </c>
      <c r="E18" s="6">
        <v>18</v>
      </c>
      <c r="F18" s="8">
        <v>42201</v>
      </c>
      <c r="G18" s="6">
        <v>2</v>
      </c>
      <c r="H18" s="8">
        <f t="shared" si="0"/>
        <v>100</v>
      </c>
    </row>
    <row r="19" spans="1:8" x14ac:dyDescent="0.25">
      <c r="A19" s="6" t="s">
        <v>93</v>
      </c>
      <c r="B19" s="6" t="s">
        <v>318</v>
      </c>
      <c r="C19" s="6" t="s">
        <v>42</v>
      </c>
      <c r="D19" s="67">
        <v>39828</v>
      </c>
      <c r="E19" s="6">
        <v>7</v>
      </c>
      <c r="F19" s="8">
        <v>38254</v>
      </c>
      <c r="G19" s="6">
        <v>3</v>
      </c>
      <c r="H19" s="8">
        <f t="shared" si="0"/>
        <v>900</v>
      </c>
    </row>
    <row r="20" spans="1:8" x14ac:dyDescent="0.25">
      <c r="A20" s="6" t="s">
        <v>279</v>
      </c>
      <c r="B20" s="6" t="s">
        <v>313</v>
      </c>
      <c r="C20" s="6" t="s">
        <v>42</v>
      </c>
      <c r="D20" s="67">
        <v>37295</v>
      </c>
      <c r="E20" s="6">
        <v>18</v>
      </c>
      <c r="F20" s="8">
        <v>34307</v>
      </c>
      <c r="G20" s="6">
        <v>4</v>
      </c>
      <c r="H20" s="8">
        <f t="shared" si="0"/>
        <v>1500</v>
      </c>
    </row>
    <row r="21" spans="1:8" x14ac:dyDescent="0.25">
      <c r="A21" s="6" t="s">
        <v>280</v>
      </c>
      <c r="B21" s="6" t="s">
        <v>313</v>
      </c>
      <c r="C21" s="6" t="s">
        <v>42</v>
      </c>
      <c r="D21" s="67">
        <v>40267</v>
      </c>
      <c r="E21" s="6">
        <v>10</v>
      </c>
      <c r="F21" s="8">
        <v>30360</v>
      </c>
      <c r="G21" s="6">
        <v>2</v>
      </c>
      <c r="H21" s="8">
        <f t="shared" si="0"/>
        <v>100</v>
      </c>
    </row>
    <row r="22" spans="1:8" x14ac:dyDescent="0.25">
      <c r="A22" s="6" t="s">
        <v>167</v>
      </c>
      <c r="B22" s="6" t="s">
        <v>318</v>
      </c>
      <c r="C22" s="6" t="s">
        <v>42</v>
      </c>
      <c r="D22" s="67">
        <v>40260</v>
      </c>
      <c r="E22" s="6">
        <v>12</v>
      </c>
      <c r="F22" s="8">
        <v>26413</v>
      </c>
      <c r="G22" s="6">
        <v>2</v>
      </c>
      <c r="H22" s="8">
        <f t="shared" si="0"/>
        <v>100</v>
      </c>
    </row>
    <row r="23" spans="1:8" x14ac:dyDescent="0.25">
      <c r="A23" s="6" t="s">
        <v>281</v>
      </c>
      <c r="B23" s="6" t="s">
        <v>313</v>
      </c>
      <c r="C23" s="6" t="s">
        <v>42</v>
      </c>
      <c r="D23" s="67">
        <v>38847</v>
      </c>
      <c r="E23" s="6">
        <v>9</v>
      </c>
      <c r="F23" s="8">
        <v>22467</v>
      </c>
      <c r="G23" s="6">
        <v>1</v>
      </c>
      <c r="H23" s="8">
        <f t="shared" si="0"/>
        <v>0</v>
      </c>
    </row>
    <row r="24" spans="1:8" x14ac:dyDescent="0.25">
      <c r="A24" s="6" t="s">
        <v>282</v>
      </c>
      <c r="B24" s="6" t="s">
        <v>314</v>
      </c>
      <c r="C24" s="6" t="s">
        <v>42</v>
      </c>
      <c r="D24" s="67">
        <v>37249</v>
      </c>
      <c r="E24" s="6">
        <v>20</v>
      </c>
      <c r="F24" s="8">
        <v>18520</v>
      </c>
      <c r="G24" s="6">
        <v>4</v>
      </c>
      <c r="H24" s="8">
        <f t="shared" si="0"/>
        <v>1500</v>
      </c>
    </row>
    <row r="25" spans="1:8" x14ac:dyDescent="0.25">
      <c r="A25" s="6" t="s">
        <v>283</v>
      </c>
      <c r="B25" s="6" t="s">
        <v>315</v>
      </c>
      <c r="C25" s="6" t="s">
        <v>42</v>
      </c>
      <c r="D25" s="67">
        <v>41673</v>
      </c>
      <c r="E25" s="6">
        <v>12</v>
      </c>
      <c r="F25" s="8">
        <v>14573</v>
      </c>
      <c r="G25" s="6">
        <v>3</v>
      </c>
      <c r="H25" s="8">
        <f t="shared" si="0"/>
        <v>900</v>
      </c>
    </row>
    <row r="26" spans="1:8" x14ac:dyDescent="0.25">
      <c r="A26" s="6" t="s">
        <v>284</v>
      </c>
      <c r="B26" s="6" t="s">
        <v>317</v>
      </c>
      <c r="C26" s="6" t="s">
        <v>319</v>
      </c>
      <c r="D26" s="67">
        <v>40225</v>
      </c>
      <c r="E26" s="6">
        <v>12</v>
      </c>
      <c r="F26" s="8">
        <v>10626</v>
      </c>
      <c r="G26" s="6">
        <v>2</v>
      </c>
      <c r="H26" s="8">
        <f t="shared" si="0"/>
        <v>100</v>
      </c>
    </row>
    <row r="27" spans="1:8" x14ac:dyDescent="0.25">
      <c r="A27" s="6" t="s">
        <v>285</v>
      </c>
      <c r="B27" s="6" t="s">
        <v>313</v>
      </c>
      <c r="C27" s="6" t="s">
        <v>319</v>
      </c>
      <c r="D27" s="67">
        <v>42229</v>
      </c>
      <c r="E27" s="6">
        <v>18</v>
      </c>
      <c r="F27" s="8">
        <v>6679</v>
      </c>
      <c r="G27" s="6">
        <v>1</v>
      </c>
      <c r="H27" s="8">
        <f t="shared" si="0"/>
        <v>0</v>
      </c>
    </row>
    <row r="28" spans="1:8" x14ac:dyDescent="0.25">
      <c r="A28" s="6" t="s">
        <v>286</v>
      </c>
      <c r="B28" s="6" t="s">
        <v>316</v>
      </c>
      <c r="C28" s="6" t="s">
        <v>319</v>
      </c>
      <c r="D28" s="67">
        <v>40525</v>
      </c>
      <c r="E28" s="6">
        <v>19</v>
      </c>
      <c r="F28" s="8">
        <v>27324</v>
      </c>
      <c r="G28" s="6">
        <v>3</v>
      </c>
      <c r="H28" s="8">
        <f t="shared" si="0"/>
        <v>900</v>
      </c>
    </row>
    <row r="29" spans="1:8" x14ac:dyDescent="0.25">
      <c r="A29" s="6" t="s">
        <v>287</v>
      </c>
      <c r="B29" s="6" t="s">
        <v>314</v>
      </c>
      <c r="C29" s="6" t="s">
        <v>319</v>
      </c>
      <c r="D29" s="67">
        <v>39828</v>
      </c>
      <c r="E29" s="6">
        <v>20</v>
      </c>
      <c r="F29" s="8">
        <v>121423</v>
      </c>
      <c r="G29" s="6">
        <v>5</v>
      </c>
      <c r="H29" s="8">
        <f t="shared" si="0"/>
        <v>3000</v>
      </c>
    </row>
    <row r="30" spans="1:8" x14ac:dyDescent="0.25">
      <c r="A30" s="6" t="s">
        <v>288</v>
      </c>
      <c r="B30" s="6" t="s">
        <v>315</v>
      </c>
      <c r="C30" s="6" t="s">
        <v>319</v>
      </c>
      <c r="D30" s="67">
        <v>37295</v>
      </c>
      <c r="E30" s="6">
        <v>20</v>
      </c>
      <c r="F30" s="8">
        <v>32342</v>
      </c>
      <c r="G30" s="6">
        <v>3</v>
      </c>
      <c r="H30" s="8">
        <f t="shared" si="0"/>
        <v>900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E04-D3EF-4E09-91B2-D8E95F0068F2}">
  <dimension ref="A1:K30"/>
  <sheetViews>
    <sheetView workbookViewId="0">
      <selection activeCell="M8" sqref="M8"/>
    </sheetView>
  </sheetViews>
  <sheetFormatPr defaultRowHeight="15" x14ac:dyDescent="0.25"/>
  <cols>
    <col min="1" max="1" width="17.5703125" bestFit="1" customWidth="1"/>
    <col min="2" max="2" width="8.7109375" bestFit="1" customWidth="1"/>
    <col min="3" max="3" width="18.85546875" bestFit="1" customWidth="1"/>
    <col min="4" max="4" width="10.7109375" bestFit="1" customWidth="1"/>
    <col min="5" max="5" width="5.85546875" bestFit="1" customWidth="1"/>
    <col min="6" max="6" width="12.5703125" bestFit="1" customWidth="1"/>
    <col min="7" max="7" width="10" bestFit="1" customWidth="1"/>
    <col min="8" max="8" width="14.85546875" customWidth="1"/>
    <col min="10" max="11" width="13" customWidth="1"/>
  </cols>
  <sheetData>
    <row r="1" spans="1:11" s="98" customFormat="1" ht="28.5" customHeight="1" thickBot="1" x14ac:dyDescent="0.3">
      <c r="A1" s="98" t="s">
        <v>325</v>
      </c>
    </row>
    <row r="2" spans="1:11" ht="15.75" thickTop="1" x14ac:dyDescent="0.25"/>
    <row r="3" spans="1:11" x14ac:dyDescent="0.25">
      <c r="A3" s="68" t="s">
        <v>307</v>
      </c>
      <c r="B3" s="68" t="s">
        <v>308</v>
      </c>
      <c r="C3" s="68" t="s">
        <v>23</v>
      </c>
      <c r="D3" s="68" t="s">
        <v>309</v>
      </c>
      <c r="E3" s="68" t="s">
        <v>24</v>
      </c>
      <c r="F3" s="68" t="s">
        <v>25</v>
      </c>
      <c r="G3" s="68" t="s">
        <v>310</v>
      </c>
      <c r="H3" s="68" t="s">
        <v>311</v>
      </c>
      <c r="I3" s="43"/>
      <c r="J3" s="69" t="s">
        <v>312</v>
      </c>
      <c r="K3" s="69" t="s">
        <v>311</v>
      </c>
    </row>
    <row r="4" spans="1:11" x14ac:dyDescent="0.25">
      <c r="A4" s="6" t="s">
        <v>78</v>
      </c>
      <c r="B4" s="6" t="s">
        <v>313</v>
      </c>
      <c r="C4" s="6" t="s">
        <v>34</v>
      </c>
      <c r="D4" s="67">
        <v>37249</v>
      </c>
      <c r="E4" s="6">
        <v>20</v>
      </c>
      <c r="F4" s="8">
        <v>60981</v>
      </c>
      <c r="G4" s="6">
        <v>1</v>
      </c>
      <c r="H4" s="8" t="str" cm="1">
        <f t="array" ref="H4">_xlfn.IFNA(_xlfn.IFS(G4=$J$4,$K$4,G4=$J$5,$K$5), "No Bonus")</f>
        <v>No Bonus</v>
      </c>
      <c r="J4" s="6">
        <v>5</v>
      </c>
      <c r="K4" s="6">
        <v>3000</v>
      </c>
    </row>
    <row r="5" spans="1:11" x14ac:dyDescent="0.25">
      <c r="A5" s="6" t="s">
        <v>79</v>
      </c>
      <c r="B5" s="6" t="s">
        <v>313</v>
      </c>
      <c r="C5" s="6" t="s">
        <v>34</v>
      </c>
      <c r="D5" s="67">
        <v>41673</v>
      </c>
      <c r="E5" s="6">
        <v>7</v>
      </c>
      <c r="F5" s="8">
        <v>60915</v>
      </c>
      <c r="G5" s="6">
        <v>4</v>
      </c>
      <c r="H5" s="8" cm="1">
        <f t="array" ref="H5">_xlfn.IFNA(_xlfn.IFS(G5=$J$4,$K$4,G5=$J$5,$K$5), "No Bonus")</f>
        <v>1500</v>
      </c>
      <c r="J5" s="6">
        <v>4</v>
      </c>
      <c r="K5" s="6">
        <v>1500</v>
      </c>
    </row>
    <row r="6" spans="1:11" x14ac:dyDescent="0.25">
      <c r="A6" s="6" t="s">
        <v>80</v>
      </c>
      <c r="B6" s="6" t="s">
        <v>313</v>
      </c>
      <c r="C6" s="6" t="s">
        <v>34</v>
      </c>
      <c r="D6" s="67">
        <v>40225</v>
      </c>
      <c r="E6" s="6">
        <v>11</v>
      </c>
      <c r="F6" s="8">
        <v>97071</v>
      </c>
      <c r="G6" s="6">
        <v>5</v>
      </c>
      <c r="H6" s="8" cm="1">
        <f t="array" ref="H6">_xlfn.IFNA(_xlfn.IFS(G6=$J$4,$K$4,G6=$J$5,$K$5), "No Bonus")</f>
        <v>3000</v>
      </c>
      <c r="J6" s="6">
        <v>3</v>
      </c>
      <c r="K6" s="6">
        <v>900</v>
      </c>
    </row>
    <row r="7" spans="1:11" x14ac:dyDescent="0.25">
      <c r="A7" s="6" t="s">
        <v>81</v>
      </c>
      <c r="B7" s="6" t="s">
        <v>314</v>
      </c>
      <c r="C7" s="6" t="s">
        <v>34</v>
      </c>
      <c r="D7" s="67">
        <v>42229</v>
      </c>
      <c r="E7" s="6">
        <v>6</v>
      </c>
      <c r="F7" s="8">
        <v>115421</v>
      </c>
      <c r="G7" s="6">
        <v>3</v>
      </c>
      <c r="H7" s="8" t="str" cm="1">
        <f t="array" ref="H7">_xlfn.IFNA(_xlfn.IFS(G7=$J$4,$K$4,G7=$J$5,$K$5), "No Bonus")</f>
        <v>No Bonus</v>
      </c>
      <c r="J7" s="6">
        <v>2</v>
      </c>
      <c r="K7" s="6">
        <v>100</v>
      </c>
    </row>
    <row r="8" spans="1:11" x14ac:dyDescent="0.25">
      <c r="A8" s="6" t="s">
        <v>82</v>
      </c>
      <c r="B8" s="6" t="s">
        <v>315</v>
      </c>
      <c r="C8" s="6" t="s">
        <v>34</v>
      </c>
      <c r="D8" s="67">
        <v>40525</v>
      </c>
      <c r="E8" s="6">
        <v>11</v>
      </c>
      <c r="F8" s="8">
        <v>115547</v>
      </c>
      <c r="G8" s="6">
        <v>4</v>
      </c>
      <c r="H8" s="8" cm="1">
        <f t="array" ref="H8">_xlfn.IFNA(_xlfn.IFS(G8=$J$4,$K$4,G8=$J$5,$K$5), "No Bonus")</f>
        <v>1500</v>
      </c>
      <c r="J8" s="6">
        <v>1</v>
      </c>
      <c r="K8" s="6">
        <v>0</v>
      </c>
    </row>
    <row r="9" spans="1:11" x14ac:dyDescent="0.25">
      <c r="A9" s="6" t="s">
        <v>83</v>
      </c>
      <c r="B9" s="6" t="s">
        <v>316</v>
      </c>
      <c r="C9" s="6" t="s">
        <v>42</v>
      </c>
      <c r="D9" s="67">
        <v>39828</v>
      </c>
      <c r="E9" s="6">
        <v>12</v>
      </c>
      <c r="F9" s="8">
        <v>69212</v>
      </c>
      <c r="G9" s="6">
        <v>2</v>
      </c>
      <c r="H9" s="8" t="str" cm="1">
        <f t="array" ref="H9">_xlfn.IFNA(_xlfn.IFS(G9=$J$4,$K$4,G9=$J$5,$K$5), "No Bonus")</f>
        <v>No Bonus</v>
      </c>
    </row>
    <row r="10" spans="1:11" x14ac:dyDescent="0.25">
      <c r="A10" s="6" t="s">
        <v>84</v>
      </c>
      <c r="B10" s="6" t="s">
        <v>314</v>
      </c>
      <c r="C10" s="6" t="s">
        <v>42</v>
      </c>
      <c r="D10" s="67">
        <v>37295</v>
      </c>
      <c r="E10" s="6">
        <v>19</v>
      </c>
      <c r="F10" s="8">
        <v>34234</v>
      </c>
      <c r="G10" s="6">
        <v>1</v>
      </c>
      <c r="H10" s="8" t="str" cm="1">
        <f t="array" ref="H10">_xlfn.IFNA(_xlfn.IFS(G10=$J$4,$K$4,G10=$J$5,$K$5), "No Bonus")</f>
        <v>No Bonus</v>
      </c>
    </row>
    <row r="11" spans="1:11" x14ac:dyDescent="0.25">
      <c r="A11" s="6" t="s">
        <v>85</v>
      </c>
      <c r="B11" s="6" t="s">
        <v>317</v>
      </c>
      <c r="C11" s="6" t="s">
        <v>42</v>
      </c>
      <c r="D11" s="67">
        <v>40267</v>
      </c>
      <c r="E11" s="6">
        <v>11</v>
      </c>
      <c r="F11" s="8">
        <v>234234</v>
      </c>
      <c r="G11" s="6">
        <v>2</v>
      </c>
      <c r="H11" s="8" t="str" cm="1">
        <f t="array" ref="H11">_xlfn.IFNA(_xlfn.IFS(G11=$J$4,$K$4,G11=$J$5,$K$5), "No Bonus")</f>
        <v>No Bonus</v>
      </c>
    </row>
    <row r="12" spans="1:11" x14ac:dyDescent="0.25">
      <c r="A12" s="6" t="s">
        <v>86</v>
      </c>
      <c r="B12" s="6" t="s">
        <v>316</v>
      </c>
      <c r="C12" s="6" t="s">
        <v>42</v>
      </c>
      <c r="D12" s="67">
        <v>40260</v>
      </c>
      <c r="E12" s="6">
        <v>19</v>
      </c>
      <c r="F12" s="8">
        <v>12311</v>
      </c>
      <c r="G12" s="6">
        <v>4</v>
      </c>
      <c r="H12" s="8" cm="1">
        <f t="array" ref="H12">_xlfn.IFNA(_xlfn.IFS(G12=$J$4,$K$4,G12=$J$5,$K$5), "No Bonus")</f>
        <v>1500</v>
      </c>
    </row>
    <row r="13" spans="1:11" x14ac:dyDescent="0.25">
      <c r="A13" s="6" t="s">
        <v>87</v>
      </c>
      <c r="B13" s="6" t="s">
        <v>314</v>
      </c>
      <c r="C13" s="6" t="s">
        <v>42</v>
      </c>
      <c r="D13" s="67">
        <v>38847</v>
      </c>
      <c r="E13" s="6">
        <v>16</v>
      </c>
      <c r="F13" s="8">
        <v>32234</v>
      </c>
      <c r="G13" s="6">
        <v>3</v>
      </c>
      <c r="H13" s="8" t="str" cm="1">
        <f t="array" ref="H13">_xlfn.IFNA(_xlfn.IFS(G13=$J$4,$K$4,G13=$J$5,$K$5), "No Bonus")</f>
        <v>No Bonus</v>
      </c>
    </row>
    <row r="14" spans="1:11" x14ac:dyDescent="0.25">
      <c r="A14" s="6" t="s">
        <v>88</v>
      </c>
      <c r="B14" s="6" t="s">
        <v>317</v>
      </c>
      <c r="C14" s="6" t="s">
        <v>42</v>
      </c>
      <c r="D14" s="67">
        <v>37249</v>
      </c>
      <c r="E14" s="6">
        <v>15</v>
      </c>
      <c r="F14" s="8">
        <v>53432</v>
      </c>
      <c r="G14" s="6">
        <v>4</v>
      </c>
      <c r="H14" s="8" cm="1">
        <f t="array" ref="H14">_xlfn.IFNA(_xlfn.IFS(G14=$J$4,$K$4,G14=$J$5,$K$5), "No Bonus")</f>
        <v>1500</v>
      </c>
    </row>
    <row r="15" spans="1:11" x14ac:dyDescent="0.25">
      <c r="A15" s="6" t="s">
        <v>89</v>
      </c>
      <c r="B15" s="6" t="s">
        <v>317</v>
      </c>
      <c r="C15" s="6" t="s">
        <v>42</v>
      </c>
      <c r="D15" s="67">
        <v>41673</v>
      </c>
      <c r="E15" s="6">
        <v>14</v>
      </c>
      <c r="F15" s="8">
        <v>23421</v>
      </c>
      <c r="G15" s="6">
        <v>3</v>
      </c>
      <c r="H15" s="8" t="str" cm="1">
        <f t="array" ref="H15">_xlfn.IFNA(_xlfn.IFS(G15=$J$4,$K$4,G15=$J$5,$K$5), "No Bonus")</f>
        <v>No Bonus</v>
      </c>
    </row>
    <row r="16" spans="1:11" x14ac:dyDescent="0.25">
      <c r="A16" s="6" t="s">
        <v>90</v>
      </c>
      <c r="B16" s="6" t="s">
        <v>317</v>
      </c>
      <c r="C16" s="6" t="s">
        <v>42</v>
      </c>
      <c r="D16" s="67">
        <v>40225</v>
      </c>
      <c r="E16" s="6">
        <v>7</v>
      </c>
      <c r="F16" s="8">
        <v>50095</v>
      </c>
      <c r="G16" s="6">
        <v>5</v>
      </c>
      <c r="H16" s="8" cm="1">
        <f t="array" ref="H16">_xlfn.IFNA(_xlfn.IFS(G16=$J$4,$K$4,G16=$J$5,$K$5), "No Bonus")</f>
        <v>3000</v>
      </c>
    </row>
    <row r="17" spans="1:8" x14ac:dyDescent="0.25">
      <c r="A17" s="6" t="s">
        <v>91</v>
      </c>
      <c r="B17" s="6" t="s">
        <v>316</v>
      </c>
      <c r="C17" s="6" t="s">
        <v>42</v>
      </c>
      <c r="D17" s="67">
        <v>42229</v>
      </c>
      <c r="E17" s="6">
        <v>6</v>
      </c>
      <c r="F17" s="8">
        <v>46148</v>
      </c>
      <c r="G17" s="6">
        <v>3</v>
      </c>
      <c r="H17" s="8" t="str" cm="1">
        <f t="array" ref="H17">_xlfn.IFNA(_xlfn.IFS(G17=$J$4,$K$4,G17=$J$5,$K$5), "No Bonus")</f>
        <v>No Bonus</v>
      </c>
    </row>
    <row r="18" spans="1:8" x14ac:dyDescent="0.25">
      <c r="A18" s="6" t="s">
        <v>92</v>
      </c>
      <c r="B18" s="6" t="s">
        <v>315</v>
      </c>
      <c r="C18" s="6" t="s">
        <v>42</v>
      </c>
      <c r="D18" s="67">
        <v>40525</v>
      </c>
      <c r="E18" s="6">
        <v>18</v>
      </c>
      <c r="F18" s="8">
        <v>42201</v>
      </c>
      <c r="G18" s="6">
        <v>2</v>
      </c>
      <c r="H18" s="8" t="str" cm="1">
        <f t="array" ref="H18">_xlfn.IFNA(_xlfn.IFS(G18=$J$4,$K$4,G18=$J$5,$K$5), "No Bonus")</f>
        <v>No Bonus</v>
      </c>
    </row>
    <row r="19" spans="1:8" x14ac:dyDescent="0.25">
      <c r="A19" s="6" t="s">
        <v>93</v>
      </c>
      <c r="B19" s="6" t="s">
        <v>318</v>
      </c>
      <c r="C19" s="6" t="s">
        <v>42</v>
      </c>
      <c r="D19" s="67">
        <v>39828</v>
      </c>
      <c r="E19" s="6">
        <v>7</v>
      </c>
      <c r="F19" s="8">
        <v>38254</v>
      </c>
      <c r="G19" s="6">
        <v>3</v>
      </c>
      <c r="H19" s="8" t="str" cm="1">
        <f t="array" ref="H19">_xlfn.IFNA(_xlfn.IFS(G19=$J$4,$K$4,G19=$J$5,$K$5), "No Bonus")</f>
        <v>No Bonus</v>
      </c>
    </row>
    <row r="20" spans="1:8" x14ac:dyDescent="0.25">
      <c r="A20" s="6" t="s">
        <v>279</v>
      </c>
      <c r="B20" s="6" t="s">
        <v>313</v>
      </c>
      <c r="C20" s="6" t="s">
        <v>42</v>
      </c>
      <c r="D20" s="67">
        <v>37295</v>
      </c>
      <c r="E20" s="6">
        <v>18</v>
      </c>
      <c r="F20" s="8">
        <v>34307</v>
      </c>
      <c r="G20" s="6">
        <v>4</v>
      </c>
      <c r="H20" s="8" cm="1">
        <f t="array" ref="H20">_xlfn.IFNA(_xlfn.IFS(G20=$J$4,$K$4,G20=$J$5,$K$5), "No Bonus")</f>
        <v>1500</v>
      </c>
    </row>
    <row r="21" spans="1:8" x14ac:dyDescent="0.25">
      <c r="A21" s="6" t="s">
        <v>280</v>
      </c>
      <c r="B21" s="6" t="s">
        <v>313</v>
      </c>
      <c r="C21" s="6" t="s">
        <v>42</v>
      </c>
      <c r="D21" s="67">
        <v>40267</v>
      </c>
      <c r="E21" s="6">
        <v>10</v>
      </c>
      <c r="F21" s="8">
        <v>30360</v>
      </c>
      <c r="G21" s="6">
        <v>2</v>
      </c>
      <c r="H21" s="8" t="str" cm="1">
        <f t="array" ref="H21">_xlfn.IFNA(_xlfn.IFS(G21=$J$4,$K$4,G21=$J$5,$K$5), "No Bonus")</f>
        <v>No Bonus</v>
      </c>
    </row>
    <row r="22" spans="1:8" x14ac:dyDescent="0.25">
      <c r="A22" s="6" t="s">
        <v>167</v>
      </c>
      <c r="B22" s="6" t="s">
        <v>318</v>
      </c>
      <c r="C22" s="6" t="s">
        <v>42</v>
      </c>
      <c r="D22" s="67">
        <v>40260</v>
      </c>
      <c r="E22" s="6">
        <v>12</v>
      </c>
      <c r="F22" s="8">
        <v>26413</v>
      </c>
      <c r="G22" s="6">
        <v>2</v>
      </c>
      <c r="H22" s="8" t="str" cm="1">
        <f t="array" ref="H22">_xlfn.IFNA(_xlfn.IFS(G22=$J$4,$K$4,G22=$J$5,$K$5), "No Bonus")</f>
        <v>No Bonus</v>
      </c>
    </row>
    <row r="23" spans="1:8" x14ac:dyDescent="0.25">
      <c r="A23" s="6" t="s">
        <v>281</v>
      </c>
      <c r="B23" s="6" t="s">
        <v>313</v>
      </c>
      <c r="C23" s="6" t="s">
        <v>42</v>
      </c>
      <c r="D23" s="67">
        <v>38847</v>
      </c>
      <c r="E23" s="6">
        <v>9</v>
      </c>
      <c r="F23" s="8">
        <v>22467</v>
      </c>
      <c r="G23" s="6">
        <v>1</v>
      </c>
      <c r="H23" s="8" t="str" cm="1">
        <f t="array" ref="H23">_xlfn.IFNA(_xlfn.IFS(G23=$J$4,$K$4,G23=$J$5,$K$5), "No Bonus")</f>
        <v>No Bonus</v>
      </c>
    </row>
    <row r="24" spans="1:8" x14ac:dyDescent="0.25">
      <c r="A24" s="6" t="s">
        <v>282</v>
      </c>
      <c r="B24" s="6" t="s">
        <v>314</v>
      </c>
      <c r="C24" s="6" t="s">
        <v>42</v>
      </c>
      <c r="D24" s="67">
        <v>37249</v>
      </c>
      <c r="E24" s="6">
        <v>20</v>
      </c>
      <c r="F24" s="8">
        <v>18520</v>
      </c>
      <c r="G24" s="6">
        <v>4</v>
      </c>
      <c r="H24" s="8" cm="1">
        <f t="array" ref="H24">_xlfn.IFNA(_xlfn.IFS(G24=$J$4,$K$4,G24=$J$5,$K$5), "No Bonus")</f>
        <v>1500</v>
      </c>
    </row>
    <row r="25" spans="1:8" x14ac:dyDescent="0.25">
      <c r="A25" s="6" t="s">
        <v>283</v>
      </c>
      <c r="B25" s="6" t="s">
        <v>315</v>
      </c>
      <c r="C25" s="6" t="s">
        <v>42</v>
      </c>
      <c r="D25" s="67">
        <v>41673</v>
      </c>
      <c r="E25" s="6">
        <v>12</v>
      </c>
      <c r="F25" s="8">
        <v>14573</v>
      </c>
      <c r="G25" s="6">
        <v>3</v>
      </c>
      <c r="H25" s="8" t="str" cm="1">
        <f t="array" ref="H25">_xlfn.IFNA(_xlfn.IFS(G25=$J$4,$K$4,G25=$J$5,$K$5), "No Bonus")</f>
        <v>No Bonus</v>
      </c>
    </row>
    <row r="26" spans="1:8" x14ac:dyDescent="0.25">
      <c r="A26" s="6" t="s">
        <v>284</v>
      </c>
      <c r="B26" s="6" t="s">
        <v>317</v>
      </c>
      <c r="C26" s="6" t="s">
        <v>319</v>
      </c>
      <c r="D26" s="67">
        <v>40225</v>
      </c>
      <c r="E26" s="6">
        <v>12</v>
      </c>
      <c r="F26" s="8">
        <v>10626</v>
      </c>
      <c r="G26" s="6">
        <v>2</v>
      </c>
      <c r="H26" s="8" t="str" cm="1">
        <f t="array" ref="H26">_xlfn.IFNA(_xlfn.IFS(G26=$J$4,$K$4,G26=$J$5,$K$5), "No Bonus")</f>
        <v>No Bonus</v>
      </c>
    </row>
    <row r="27" spans="1:8" x14ac:dyDescent="0.25">
      <c r="A27" s="6" t="s">
        <v>285</v>
      </c>
      <c r="B27" s="6" t="s">
        <v>313</v>
      </c>
      <c r="C27" s="6" t="s">
        <v>319</v>
      </c>
      <c r="D27" s="67">
        <v>42229</v>
      </c>
      <c r="E27" s="6">
        <v>18</v>
      </c>
      <c r="F27" s="8">
        <v>6679</v>
      </c>
      <c r="G27" s="6">
        <v>1</v>
      </c>
      <c r="H27" s="8" t="str" cm="1">
        <f t="array" ref="H27">_xlfn.IFNA(_xlfn.IFS(G27=$J$4,$K$4,G27=$J$5,$K$5), "No Bonus")</f>
        <v>No Bonus</v>
      </c>
    </row>
    <row r="28" spans="1:8" x14ac:dyDescent="0.25">
      <c r="A28" s="6" t="s">
        <v>286</v>
      </c>
      <c r="B28" s="6" t="s">
        <v>316</v>
      </c>
      <c r="C28" s="6" t="s">
        <v>319</v>
      </c>
      <c r="D28" s="67">
        <v>40525</v>
      </c>
      <c r="E28" s="6">
        <v>19</v>
      </c>
      <c r="F28" s="8">
        <v>27324</v>
      </c>
      <c r="G28" s="6">
        <v>3</v>
      </c>
      <c r="H28" s="8" t="str" cm="1">
        <f t="array" ref="H28">_xlfn.IFNA(_xlfn.IFS(G28=$J$4,$K$4,G28=$J$5,$K$5), "No Bonus")</f>
        <v>No Bonus</v>
      </c>
    </row>
    <row r="29" spans="1:8" x14ac:dyDescent="0.25">
      <c r="A29" s="6" t="s">
        <v>287</v>
      </c>
      <c r="B29" s="6" t="s">
        <v>314</v>
      </c>
      <c r="C29" s="6" t="s">
        <v>319</v>
      </c>
      <c r="D29" s="67">
        <v>39828</v>
      </c>
      <c r="E29" s="6">
        <v>20</v>
      </c>
      <c r="F29" s="8">
        <v>121423</v>
      </c>
      <c r="G29" s="6">
        <v>5</v>
      </c>
      <c r="H29" s="8" cm="1">
        <f t="array" ref="H29">_xlfn.IFNA(_xlfn.IFS(G29=$J$4,$K$4,G29=$J$5,$K$5), "No Bonus")</f>
        <v>3000</v>
      </c>
    </row>
    <row r="30" spans="1:8" x14ac:dyDescent="0.25">
      <c r="A30" s="6" t="s">
        <v>288</v>
      </c>
      <c r="B30" s="6" t="s">
        <v>315</v>
      </c>
      <c r="C30" s="6" t="s">
        <v>319</v>
      </c>
      <c r="D30" s="67">
        <v>37295</v>
      </c>
      <c r="E30" s="6">
        <v>20</v>
      </c>
      <c r="F30" s="8">
        <v>32342</v>
      </c>
      <c r="G30" s="6">
        <v>3</v>
      </c>
      <c r="H30" s="8" t="str" cm="1">
        <f t="array" ref="H30">_xlfn.IFNA(_xlfn.IFS(G30=$J$4,$K$4,G30=$J$5,$K$5), "No Bonus")</f>
        <v>No Bonus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4E95-1B50-47B6-93EB-D1936BF2DED2}">
  <dimension ref="A1:H24"/>
  <sheetViews>
    <sheetView workbookViewId="0">
      <selection activeCell="G11" sqref="G11"/>
    </sheetView>
  </sheetViews>
  <sheetFormatPr defaultRowHeight="15" x14ac:dyDescent="0.25"/>
  <cols>
    <col min="1" max="1" width="16.28515625" customWidth="1"/>
    <col min="2" max="4" width="14.85546875" customWidth="1"/>
    <col min="7" max="7" width="14" customWidth="1"/>
    <col min="8" max="8" width="18.85546875" customWidth="1"/>
  </cols>
  <sheetData>
    <row r="1" spans="1:8" s="98" customFormat="1" ht="30" customHeight="1" thickBot="1" x14ac:dyDescent="0.3">
      <c r="A1" s="98" t="s">
        <v>338</v>
      </c>
    </row>
    <row r="2" spans="1:8" ht="15.75" thickTop="1" x14ac:dyDescent="0.25"/>
    <row r="3" spans="1:8" ht="15.75" x14ac:dyDescent="0.25">
      <c r="A3" s="71" t="s">
        <v>339</v>
      </c>
      <c r="B3" s="72"/>
      <c r="C3" s="72"/>
      <c r="D3" s="72"/>
      <c r="E3" s="72"/>
      <c r="F3" s="72"/>
      <c r="G3" s="72"/>
      <c r="H3" s="72"/>
    </row>
    <row r="5" spans="1:8" x14ac:dyDescent="0.25">
      <c r="A5" s="73" t="s">
        <v>340</v>
      </c>
      <c r="B5" s="73" t="s">
        <v>341</v>
      </c>
      <c r="C5" s="73" t="s">
        <v>342</v>
      </c>
      <c r="D5" s="73" t="s">
        <v>343</v>
      </c>
      <c r="G5" s="1" t="s">
        <v>344</v>
      </c>
      <c r="H5" s="74" t="s">
        <v>345</v>
      </c>
    </row>
    <row r="6" spans="1:8" x14ac:dyDescent="0.25">
      <c r="A6" s="75" t="s">
        <v>346</v>
      </c>
      <c r="B6" s="75" t="s">
        <v>347</v>
      </c>
      <c r="C6" s="76">
        <v>11649</v>
      </c>
      <c r="D6" s="76">
        <v>802</v>
      </c>
      <c r="G6" t="s">
        <v>340</v>
      </c>
      <c r="H6" s="77" t="str">
        <f>INDEX(A6:A16,MATCH(H5,App,0))</f>
        <v>Social Media</v>
      </c>
    </row>
    <row r="7" spans="1:8" x14ac:dyDescent="0.25">
      <c r="A7" s="75" t="s">
        <v>346</v>
      </c>
      <c r="B7" s="75" t="s">
        <v>348</v>
      </c>
      <c r="C7" s="76">
        <v>7718</v>
      </c>
      <c r="D7" s="76">
        <v>876</v>
      </c>
      <c r="G7" t="s">
        <v>343</v>
      </c>
      <c r="H7" s="78">
        <f>INDEX(D6:D16,MATCH(H5,B6:B16,0))</f>
        <v>800</v>
      </c>
    </row>
    <row r="8" spans="1:8" x14ac:dyDescent="0.25">
      <c r="A8" s="75" t="s">
        <v>346</v>
      </c>
      <c r="B8" s="75" t="s">
        <v>349</v>
      </c>
      <c r="C8" s="76">
        <v>15033</v>
      </c>
      <c r="D8" s="76">
        <v>469</v>
      </c>
    </row>
    <row r="9" spans="1:8" x14ac:dyDescent="0.25">
      <c r="A9" s="75" t="s">
        <v>346</v>
      </c>
      <c r="B9" s="75" t="s">
        <v>350</v>
      </c>
      <c r="C9" s="76">
        <v>18700</v>
      </c>
      <c r="D9" s="76">
        <v>984</v>
      </c>
      <c r="G9" t="s">
        <v>342</v>
      </c>
      <c r="H9" s="78">
        <f>INDEX(Revenue,MATCH(H5,App,0))</f>
        <v>17760</v>
      </c>
    </row>
    <row r="10" spans="1:8" x14ac:dyDescent="0.25">
      <c r="A10" s="75" t="s">
        <v>351</v>
      </c>
      <c r="B10" s="75" t="s">
        <v>352</v>
      </c>
      <c r="C10" s="76">
        <v>14432</v>
      </c>
      <c r="D10" s="76">
        <v>240</v>
      </c>
    </row>
    <row r="11" spans="1:8" x14ac:dyDescent="0.25">
      <c r="A11" s="75" t="s">
        <v>351</v>
      </c>
      <c r="B11" s="75" t="s">
        <v>353</v>
      </c>
      <c r="C11" s="76">
        <v>17990</v>
      </c>
      <c r="D11" s="76">
        <v>1166</v>
      </c>
    </row>
    <row r="12" spans="1:8" x14ac:dyDescent="0.25">
      <c r="A12" s="75" t="s">
        <v>351</v>
      </c>
      <c r="B12" s="75" t="s">
        <v>354</v>
      </c>
      <c r="C12" s="76">
        <v>11022</v>
      </c>
      <c r="D12" s="76">
        <v>550</v>
      </c>
    </row>
    <row r="13" spans="1:8" x14ac:dyDescent="0.25">
      <c r="A13" s="75" t="s">
        <v>355</v>
      </c>
      <c r="B13" s="75" t="s">
        <v>345</v>
      </c>
      <c r="C13" s="76">
        <v>17760</v>
      </c>
      <c r="D13" s="76">
        <v>800</v>
      </c>
    </row>
    <row r="14" spans="1:8" x14ac:dyDescent="0.25">
      <c r="A14" s="75" t="s">
        <v>355</v>
      </c>
      <c r="B14" s="75" t="s">
        <v>356</v>
      </c>
      <c r="C14" s="76">
        <v>30399.599999999999</v>
      </c>
      <c r="D14" s="76">
        <v>786.8</v>
      </c>
    </row>
    <row r="15" spans="1:8" x14ac:dyDescent="0.25">
      <c r="A15" s="75" t="s">
        <v>355</v>
      </c>
      <c r="B15" s="75" t="s">
        <v>357</v>
      </c>
      <c r="C15" s="76">
        <v>20400</v>
      </c>
      <c r="D15" s="76">
        <v>614.4</v>
      </c>
    </row>
    <row r="16" spans="1:8" x14ac:dyDescent="0.25">
      <c r="A16" s="75" t="s">
        <v>355</v>
      </c>
      <c r="B16" s="75" t="s">
        <v>358</v>
      </c>
      <c r="C16" s="76">
        <v>60000</v>
      </c>
      <c r="D16" s="76">
        <v>10000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</sheetData>
  <mergeCells count="1">
    <mergeCell ref="A1:XFD1"/>
  </mergeCells>
  <dataValidations count="1">
    <dataValidation type="list" allowBlank="1" showInputMessage="1" showErrorMessage="1" sqref="H5" xr:uid="{A57A9F96-EF53-4EC1-983F-8C599E3E9C05}">
      <formula1>$B$6:$B$16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D68D-D014-4607-9977-9C79D308204C}">
  <dimension ref="A1:H17"/>
  <sheetViews>
    <sheetView workbookViewId="0">
      <selection sqref="A1:XFD1"/>
    </sheetView>
  </sheetViews>
  <sheetFormatPr defaultRowHeight="15" x14ac:dyDescent="0.25"/>
  <cols>
    <col min="1" max="1" width="18.85546875" customWidth="1"/>
    <col min="2" max="4" width="17.140625" customWidth="1"/>
    <col min="7" max="7" width="15.7109375" customWidth="1"/>
    <col min="8" max="8" width="21.28515625" customWidth="1"/>
  </cols>
  <sheetData>
    <row r="1" spans="1:8" s="98" customFormat="1" ht="32.25" customHeight="1" thickBot="1" x14ac:dyDescent="0.3">
      <c r="A1" s="98" t="s">
        <v>361</v>
      </c>
    </row>
    <row r="2" spans="1:8" ht="15.75" thickTop="1" x14ac:dyDescent="0.25"/>
    <row r="3" spans="1:8" ht="15.75" x14ac:dyDescent="0.25">
      <c r="A3" s="71" t="s">
        <v>339</v>
      </c>
      <c r="B3" s="72"/>
      <c r="C3" s="72"/>
      <c r="D3" s="72"/>
      <c r="E3" s="72"/>
      <c r="F3" s="72"/>
      <c r="G3" s="72"/>
      <c r="H3" s="72"/>
    </row>
    <row r="5" spans="1:8" x14ac:dyDescent="0.25">
      <c r="A5" s="81" t="s">
        <v>340</v>
      </c>
      <c r="B5" s="82" t="s">
        <v>341</v>
      </c>
      <c r="C5" s="82" t="s">
        <v>342</v>
      </c>
      <c r="D5" s="83" t="s">
        <v>343</v>
      </c>
      <c r="G5" s="1" t="s">
        <v>344</v>
      </c>
      <c r="H5" s="74" t="s">
        <v>347</v>
      </c>
    </row>
    <row r="6" spans="1:8" x14ac:dyDescent="0.25">
      <c r="A6" s="79" t="s">
        <v>346</v>
      </c>
      <c r="B6" s="75" t="s">
        <v>347</v>
      </c>
      <c r="C6" s="76">
        <v>11649</v>
      </c>
      <c r="D6" s="80">
        <v>802</v>
      </c>
      <c r="G6" t="s">
        <v>340</v>
      </c>
      <c r="H6" s="77" t="str">
        <f>_xlfn.XLOOKUP(H5,Apps_List[App],Apps_List[Category],"Not Found",0,1)</f>
        <v>Game</v>
      </c>
    </row>
    <row r="7" spans="1:8" x14ac:dyDescent="0.25">
      <c r="A7" s="79" t="s">
        <v>346</v>
      </c>
      <c r="B7" s="75" t="s">
        <v>348</v>
      </c>
      <c r="C7" s="76">
        <v>7718</v>
      </c>
      <c r="D7" s="80">
        <v>876</v>
      </c>
      <c r="G7" t="s">
        <v>343</v>
      </c>
      <c r="H7" s="78" cm="1">
        <f t="array" ref="H7">INDEX(Apps_List[Profit],_xlfn.XMATCH(H5,Apps_List[App],0,1))</f>
        <v>802</v>
      </c>
    </row>
    <row r="8" spans="1:8" x14ac:dyDescent="0.25">
      <c r="A8" s="79" t="s">
        <v>346</v>
      </c>
      <c r="B8" s="75" t="s">
        <v>349</v>
      </c>
      <c r="C8" s="76">
        <v>15033</v>
      </c>
      <c r="D8" s="80">
        <v>469</v>
      </c>
    </row>
    <row r="9" spans="1:8" x14ac:dyDescent="0.25">
      <c r="A9" s="79" t="s">
        <v>346</v>
      </c>
      <c r="B9" s="75" t="s">
        <v>350</v>
      </c>
      <c r="C9" s="76">
        <v>18700</v>
      </c>
      <c r="D9" s="80">
        <v>984</v>
      </c>
      <c r="G9" t="s">
        <v>342</v>
      </c>
      <c r="H9" s="78">
        <f>_xlfn.XLOOKUP(H5,Apps_List[App],Apps_List[Revenue],"Not Found",0,1)</f>
        <v>11649</v>
      </c>
    </row>
    <row r="10" spans="1:8" x14ac:dyDescent="0.25">
      <c r="A10" s="79" t="s">
        <v>351</v>
      </c>
      <c r="B10" s="75" t="s">
        <v>352</v>
      </c>
      <c r="C10" s="76">
        <v>14432</v>
      </c>
      <c r="D10" s="80">
        <v>240</v>
      </c>
    </row>
    <row r="11" spans="1:8" x14ac:dyDescent="0.25">
      <c r="A11" s="79" t="s">
        <v>351</v>
      </c>
      <c r="B11" s="75" t="s">
        <v>353</v>
      </c>
      <c r="C11" s="76">
        <v>17990</v>
      </c>
      <c r="D11" s="80">
        <v>1166</v>
      </c>
    </row>
    <row r="12" spans="1:8" x14ac:dyDescent="0.25">
      <c r="A12" s="79" t="s">
        <v>351</v>
      </c>
      <c r="B12" s="75" t="s">
        <v>354</v>
      </c>
      <c r="C12" s="76">
        <v>11022</v>
      </c>
      <c r="D12" s="80">
        <v>550</v>
      </c>
    </row>
    <row r="13" spans="1:8" x14ac:dyDescent="0.25">
      <c r="A13" s="79" t="s">
        <v>355</v>
      </c>
      <c r="B13" s="75" t="s">
        <v>345</v>
      </c>
      <c r="C13" s="76">
        <v>17760</v>
      </c>
      <c r="D13" s="80">
        <v>800</v>
      </c>
    </row>
    <row r="14" spans="1:8" x14ac:dyDescent="0.25">
      <c r="A14" s="79" t="s">
        <v>355</v>
      </c>
      <c r="B14" s="75" t="s">
        <v>356</v>
      </c>
      <c r="C14" s="76">
        <v>30399.599999999999</v>
      </c>
      <c r="D14" s="80">
        <v>786.8</v>
      </c>
    </row>
    <row r="15" spans="1:8" x14ac:dyDescent="0.25">
      <c r="A15" s="79" t="s">
        <v>355</v>
      </c>
      <c r="B15" s="75" t="s">
        <v>357</v>
      </c>
      <c r="C15" s="76">
        <v>20400</v>
      </c>
      <c r="D15" s="80">
        <v>614.4</v>
      </c>
    </row>
    <row r="16" spans="1:8" x14ac:dyDescent="0.25">
      <c r="A16" s="84" t="s">
        <v>355</v>
      </c>
      <c r="B16" s="85" t="s">
        <v>358</v>
      </c>
      <c r="C16" s="86">
        <v>60000</v>
      </c>
      <c r="D16" s="87">
        <v>10000</v>
      </c>
    </row>
    <row r="17" spans="1:4" x14ac:dyDescent="0.25">
      <c r="A17" s="84" t="s">
        <v>362</v>
      </c>
      <c r="B17" s="85" t="s">
        <v>353</v>
      </c>
      <c r="C17" s="86">
        <v>50000</v>
      </c>
      <c r="D17" s="87">
        <v>5000</v>
      </c>
    </row>
  </sheetData>
  <mergeCells count="1">
    <mergeCell ref="A1:XFD1"/>
  </mergeCells>
  <dataValidations count="1">
    <dataValidation type="list" allowBlank="1" showInputMessage="1" showErrorMessage="1" sqref="H5" xr:uid="{63AF5F4F-5AD1-462F-A7FF-E9B18A2C7769}">
      <formula1>$B$6:$B$17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8FDA-8B2A-43B8-A268-3A8EF12A9D7E}">
  <dimension ref="A1:I18"/>
  <sheetViews>
    <sheetView workbookViewId="0">
      <selection activeCell="B7" sqref="A3:I18"/>
    </sheetView>
  </sheetViews>
  <sheetFormatPr defaultRowHeight="15" x14ac:dyDescent="0.25"/>
  <cols>
    <col min="1" max="1" width="11.42578125" customWidth="1"/>
    <col min="2" max="2" width="14.42578125" customWidth="1"/>
    <col min="3" max="3" width="14.28515625" customWidth="1"/>
    <col min="4" max="4" width="9.5703125" customWidth="1"/>
    <col min="5" max="5" width="23.5703125" customWidth="1"/>
    <col min="6" max="6" width="14.140625" customWidth="1"/>
    <col min="7" max="7" width="15.42578125" customWidth="1"/>
    <col min="8" max="8" width="18.42578125" customWidth="1"/>
    <col min="9" max="9" width="37.140625" customWidth="1"/>
  </cols>
  <sheetData>
    <row r="1" spans="1:9" s="98" customFormat="1" ht="32.25" customHeight="1" thickBot="1" x14ac:dyDescent="0.3">
      <c r="A1" s="98" t="s">
        <v>373</v>
      </c>
    </row>
    <row r="2" spans="1:9" ht="15.75" thickTop="1" x14ac:dyDescent="0.25"/>
    <row r="3" spans="1:9" x14ac:dyDescent="0.25">
      <c r="A3" s="92" t="s">
        <v>376</v>
      </c>
      <c r="B3" s="92" t="s">
        <v>96</v>
      </c>
      <c r="C3" s="92" t="s">
        <v>97</v>
      </c>
      <c r="D3" s="92" t="s">
        <v>377</v>
      </c>
      <c r="E3" s="92" t="s">
        <v>378</v>
      </c>
      <c r="F3" s="92" t="s">
        <v>379</v>
      </c>
      <c r="G3" s="92" t="s">
        <v>380</v>
      </c>
      <c r="H3" s="92" t="s">
        <v>381</v>
      </c>
      <c r="I3" s="92" t="s">
        <v>382</v>
      </c>
    </row>
    <row r="4" spans="1:9" x14ac:dyDescent="0.25">
      <c r="A4" t="s">
        <v>384</v>
      </c>
      <c r="B4" t="s">
        <v>112</v>
      </c>
      <c r="C4" t="s">
        <v>113</v>
      </c>
      <c r="D4">
        <v>100</v>
      </c>
      <c r="E4" t="s">
        <v>418</v>
      </c>
      <c r="F4" t="s">
        <v>433</v>
      </c>
      <c r="G4" t="s">
        <v>440</v>
      </c>
      <c r="H4" t="s">
        <v>457</v>
      </c>
      <c r="I4" t="str">
        <f t="shared" ref="I4:I18" si="0">_xlfn.CONCAT(LOWER(B4),".",LOWER(C4),"@somecompany.com")</f>
        <v>adam.lacey@somecompany.com</v>
      </c>
    </row>
    <row r="5" spans="1:9" x14ac:dyDescent="0.25">
      <c r="A5" t="s">
        <v>385</v>
      </c>
      <c r="B5" t="s">
        <v>390</v>
      </c>
      <c r="C5" t="s">
        <v>402</v>
      </c>
      <c r="D5">
        <v>45</v>
      </c>
      <c r="E5" t="s">
        <v>416</v>
      </c>
      <c r="F5" t="s">
        <v>431</v>
      </c>
      <c r="G5" t="s">
        <v>444</v>
      </c>
      <c r="H5" t="s">
        <v>455</v>
      </c>
      <c r="I5" t="str">
        <f t="shared" si="0"/>
        <v>anna.hernandez@somecompany.com</v>
      </c>
    </row>
    <row r="6" spans="1:9" x14ac:dyDescent="0.25">
      <c r="A6" t="s">
        <v>385</v>
      </c>
      <c r="B6" t="s">
        <v>119</v>
      </c>
      <c r="C6" t="s">
        <v>399</v>
      </c>
      <c r="D6">
        <v>25</v>
      </c>
      <c r="E6" t="s">
        <v>413</v>
      </c>
      <c r="F6" t="s">
        <v>428</v>
      </c>
      <c r="G6" t="s">
        <v>440</v>
      </c>
      <c r="H6" t="s">
        <v>452</v>
      </c>
      <c r="I6" t="str">
        <f t="shared" si="0"/>
        <v>ben.chapel@somecompany.com</v>
      </c>
    </row>
    <row r="7" spans="1:9" x14ac:dyDescent="0.25">
      <c r="A7" t="s">
        <v>384</v>
      </c>
      <c r="B7" t="s">
        <v>391</v>
      </c>
      <c r="C7" t="s">
        <v>403</v>
      </c>
      <c r="D7">
        <v>32</v>
      </c>
      <c r="E7" t="s">
        <v>417</v>
      </c>
      <c r="F7" t="s">
        <v>432</v>
      </c>
      <c r="G7" t="s">
        <v>445</v>
      </c>
      <c r="H7" t="s">
        <v>456</v>
      </c>
      <c r="I7" t="str">
        <f t="shared" si="0"/>
        <v>claire.huxtable@somecompany.com</v>
      </c>
    </row>
    <row r="8" spans="1:9" x14ac:dyDescent="0.25">
      <c r="A8" t="s">
        <v>383</v>
      </c>
      <c r="B8" t="s">
        <v>386</v>
      </c>
      <c r="C8" t="s">
        <v>106</v>
      </c>
      <c r="D8">
        <v>12</v>
      </c>
      <c r="E8" t="s">
        <v>410</v>
      </c>
      <c r="F8" t="s">
        <v>425</v>
      </c>
      <c r="G8" t="s">
        <v>440</v>
      </c>
      <c r="H8" t="s">
        <v>449</v>
      </c>
      <c r="I8" t="str">
        <f t="shared" si="0"/>
        <v>deborah.ashby@somecompany.com</v>
      </c>
    </row>
    <row r="9" spans="1:9" x14ac:dyDescent="0.25">
      <c r="A9" t="s">
        <v>385</v>
      </c>
      <c r="B9" t="s">
        <v>394</v>
      </c>
      <c r="C9" t="s">
        <v>407</v>
      </c>
      <c r="D9">
        <v>82</v>
      </c>
      <c r="E9" t="s">
        <v>422</v>
      </c>
      <c r="F9" t="s">
        <v>437</v>
      </c>
      <c r="G9" t="s">
        <v>448</v>
      </c>
      <c r="H9" t="s">
        <v>461</v>
      </c>
      <c r="I9" t="str">
        <f t="shared" si="0"/>
        <v>heather.saunders@somecompany.com</v>
      </c>
    </row>
    <row r="10" spans="1:9" x14ac:dyDescent="0.25">
      <c r="A10" t="s">
        <v>384</v>
      </c>
      <c r="B10" t="s">
        <v>392</v>
      </c>
      <c r="C10" t="s">
        <v>405</v>
      </c>
      <c r="D10">
        <v>103</v>
      </c>
      <c r="E10" t="s">
        <v>420</v>
      </c>
      <c r="F10" t="s">
        <v>435</v>
      </c>
      <c r="G10" t="s">
        <v>447</v>
      </c>
      <c r="H10" t="s">
        <v>459</v>
      </c>
      <c r="I10" t="str">
        <f t="shared" si="0"/>
        <v>james.mulligan@somecompany.com</v>
      </c>
    </row>
    <row r="11" spans="1:9" x14ac:dyDescent="0.25">
      <c r="A11" t="s">
        <v>383</v>
      </c>
      <c r="B11" t="s">
        <v>389</v>
      </c>
      <c r="C11" t="s">
        <v>401</v>
      </c>
      <c r="D11">
        <v>84</v>
      </c>
      <c r="E11" t="s">
        <v>415</v>
      </c>
      <c r="F11" t="s">
        <v>430</v>
      </c>
      <c r="G11" t="s">
        <v>443</v>
      </c>
      <c r="H11" t="s">
        <v>454</v>
      </c>
      <c r="I11" t="str">
        <f t="shared" si="0"/>
        <v>jennifer.flowers@somecompany.com</v>
      </c>
    </row>
    <row r="12" spans="1:9" x14ac:dyDescent="0.25">
      <c r="A12" t="s">
        <v>385</v>
      </c>
      <c r="B12" t="s">
        <v>155</v>
      </c>
      <c r="C12" t="s">
        <v>400</v>
      </c>
      <c r="D12">
        <v>98</v>
      </c>
      <c r="E12" t="s">
        <v>414</v>
      </c>
      <c r="F12" t="s">
        <v>429</v>
      </c>
      <c r="G12" t="s">
        <v>440</v>
      </c>
      <c r="H12" t="s">
        <v>453</v>
      </c>
      <c r="I12" t="str">
        <f t="shared" si="0"/>
        <v>julie.dwyer@somecompany.com</v>
      </c>
    </row>
    <row r="13" spans="1:9" x14ac:dyDescent="0.25">
      <c r="A13" t="s">
        <v>384</v>
      </c>
      <c r="B13" t="s">
        <v>120</v>
      </c>
      <c r="C13" t="s">
        <v>404</v>
      </c>
      <c r="D13">
        <v>64</v>
      </c>
      <c r="E13" t="s">
        <v>419</v>
      </c>
      <c r="F13" t="s">
        <v>434</v>
      </c>
      <c r="G13" t="s">
        <v>446</v>
      </c>
      <c r="H13" t="s">
        <v>458</v>
      </c>
      <c r="I13" t="str">
        <f t="shared" si="0"/>
        <v>lee.maxwell@somecompany.com</v>
      </c>
    </row>
    <row r="14" spans="1:9" x14ac:dyDescent="0.25">
      <c r="A14" t="s">
        <v>385</v>
      </c>
      <c r="B14" t="s">
        <v>393</v>
      </c>
      <c r="C14" t="s">
        <v>406</v>
      </c>
      <c r="D14">
        <v>56</v>
      </c>
      <c r="E14" t="s">
        <v>421</v>
      </c>
      <c r="F14" t="s">
        <v>436</v>
      </c>
      <c r="G14" t="s">
        <v>444</v>
      </c>
      <c r="H14" t="s">
        <v>460</v>
      </c>
      <c r="I14" t="str">
        <f t="shared" si="0"/>
        <v>maria.sanchez@somecompany.com</v>
      </c>
    </row>
    <row r="15" spans="1:9" x14ac:dyDescent="0.25">
      <c r="A15" t="s">
        <v>384</v>
      </c>
      <c r="B15" t="s">
        <v>388</v>
      </c>
      <c r="C15" t="s">
        <v>398</v>
      </c>
      <c r="D15">
        <v>12</v>
      </c>
      <c r="E15" t="s">
        <v>412</v>
      </c>
      <c r="F15" t="s">
        <v>427</v>
      </c>
      <c r="G15" t="s">
        <v>442</v>
      </c>
      <c r="H15" t="s">
        <v>451</v>
      </c>
      <c r="I15" t="str">
        <f t="shared" si="0"/>
        <v>michael.chambers@somecompany.com</v>
      </c>
    </row>
    <row r="16" spans="1:9" x14ac:dyDescent="0.25">
      <c r="A16" t="s">
        <v>384</v>
      </c>
      <c r="B16" t="s">
        <v>387</v>
      </c>
      <c r="C16" t="s">
        <v>397</v>
      </c>
      <c r="D16">
        <v>209</v>
      </c>
      <c r="E16" t="s">
        <v>411</v>
      </c>
      <c r="F16" t="s">
        <v>426</v>
      </c>
      <c r="G16" t="s">
        <v>441</v>
      </c>
      <c r="H16" t="s">
        <v>450</v>
      </c>
      <c r="I16" t="str">
        <f t="shared" si="0"/>
        <v>rav.bhopal@somecompany.com</v>
      </c>
    </row>
    <row r="17" spans="1:9" x14ac:dyDescent="0.25">
      <c r="A17" t="s">
        <v>383</v>
      </c>
      <c r="B17" t="s">
        <v>396</v>
      </c>
      <c r="C17" t="s">
        <v>409</v>
      </c>
      <c r="D17">
        <v>36</v>
      </c>
      <c r="E17" t="s">
        <v>424</v>
      </c>
      <c r="F17" t="s">
        <v>439</v>
      </c>
      <c r="G17" t="s">
        <v>443</v>
      </c>
      <c r="H17" t="s">
        <v>463</v>
      </c>
      <c r="I17" t="str">
        <f t="shared" si="0"/>
        <v>susie.smith@somecompany.com</v>
      </c>
    </row>
    <row r="18" spans="1:9" x14ac:dyDescent="0.25">
      <c r="A18" t="s">
        <v>383</v>
      </c>
      <c r="B18" t="s">
        <v>395</v>
      </c>
      <c r="C18" t="s">
        <v>408</v>
      </c>
      <c r="D18">
        <v>65</v>
      </c>
      <c r="E18" t="s">
        <v>423</v>
      </c>
      <c r="F18" t="s">
        <v>438</v>
      </c>
      <c r="G18" t="s">
        <v>438</v>
      </c>
      <c r="H18" t="s">
        <v>462</v>
      </c>
      <c r="I18" t="str">
        <f t="shared" si="0"/>
        <v>yasmin.shah@somecompany.com</v>
      </c>
    </row>
  </sheetData>
  <sortState xmlns:xlrd2="http://schemas.microsoft.com/office/spreadsheetml/2017/richdata2" ref="A4:I18">
    <sortCondition ref="B4:B18"/>
    <sortCondition descending="1" ref="F4:F18"/>
  </sortState>
  <mergeCells count="1">
    <mergeCell ref="A1:XFD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602D-1964-47D6-B305-1791B9AF643D}">
  <dimension ref="A1:I18"/>
  <sheetViews>
    <sheetView workbookViewId="0">
      <selection sqref="A1:XFD1"/>
    </sheetView>
  </sheetViews>
  <sheetFormatPr defaultRowHeight="15" x14ac:dyDescent="0.25"/>
  <cols>
    <col min="1" max="1" width="12.7109375" customWidth="1"/>
    <col min="2" max="2" width="11.42578125" customWidth="1"/>
    <col min="3" max="3" width="13.42578125" customWidth="1"/>
    <col min="4" max="4" width="8.42578125" customWidth="1"/>
    <col min="5" max="5" width="22.42578125" customWidth="1"/>
    <col min="6" max="6" width="11.140625" bestFit="1" customWidth="1"/>
    <col min="7" max="7" width="16.42578125" customWidth="1"/>
    <col min="8" max="8" width="17" customWidth="1"/>
    <col min="9" max="9" width="37" bestFit="1" customWidth="1"/>
  </cols>
  <sheetData>
    <row r="1" spans="1:9" s="98" customFormat="1" ht="38.25" customHeight="1" thickBot="1" x14ac:dyDescent="0.3">
      <c r="A1" s="98" t="s">
        <v>466</v>
      </c>
    </row>
    <row r="2" spans="1:9" ht="15.75" thickTop="1" x14ac:dyDescent="0.25"/>
    <row r="3" spans="1:9" x14ac:dyDescent="0.25">
      <c r="A3" s="92" t="s">
        <v>376</v>
      </c>
      <c r="B3" s="92" t="s">
        <v>96</v>
      </c>
      <c r="C3" s="92" t="s">
        <v>97</v>
      </c>
      <c r="D3" s="92" t="s">
        <v>377</v>
      </c>
      <c r="E3" s="92" t="s">
        <v>378</v>
      </c>
      <c r="F3" s="92" t="s">
        <v>379</v>
      </c>
      <c r="G3" s="92" t="s">
        <v>380</v>
      </c>
      <c r="H3" s="92" t="s">
        <v>381</v>
      </c>
      <c r="I3" s="92" t="s">
        <v>382</v>
      </c>
    </row>
    <row r="4" spans="1:9" x14ac:dyDescent="0.25">
      <c r="A4" t="s">
        <v>384</v>
      </c>
      <c r="B4" t="s">
        <v>112</v>
      </c>
      <c r="C4" t="s">
        <v>113</v>
      </c>
      <c r="D4">
        <v>100</v>
      </c>
      <c r="E4" t="s">
        <v>418</v>
      </c>
      <c r="F4" t="s">
        <v>433</v>
      </c>
      <c r="G4" t="s">
        <v>440</v>
      </c>
      <c r="H4" t="s">
        <v>457</v>
      </c>
      <c r="I4" t="str">
        <f t="shared" ref="I4:I18" si="0">_xlfn.CONCAT(LOWER(B4),".",LOWER(C4),"@somecompany.com")</f>
        <v>adam.lacey@somecompany.com</v>
      </c>
    </row>
    <row r="5" spans="1:9" x14ac:dyDescent="0.25">
      <c r="A5" t="s">
        <v>384</v>
      </c>
      <c r="B5" t="s">
        <v>391</v>
      </c>
      <c r="C5" t="s">
        <v>403</v>
      </c>
      <c r="D5">
        <v>32</v>
      </c>
      <c r="E5" t="s">
        <v>417</v>
      </c>
      <c r="F5" t="s">
        <v>432</v>
      </c>
      <c r="G5" t="s">
        <v>445</v>
      </c>
      <c r="H5" t="s">
        <v>456</v>
      </c>
      <c r="I5" t="str">
        <f t="shared" si="0"/>
        <v>claire.huxtable@somecompany.com</v>
      </c>
    </row>
    <row r="6" spans="1:9" x14ac:dyDescent="0.25">
      <c r="A6" t="s">
        <v>384</v>
      </c>
      <c r="B6" t="s">
        <v>392</v>
      </c>
      <c r="C6" t="s">
        <v>405</v>
      </c>
      <c r="D6">
        <v>103</v>
      </c>
      <c r="E6" t="s">
        <v>420</v>
      </c>
      <c r="F6" t="s">
        <v>435</v>
      </c>
      <c r="G6" t="s">
        <v>447</v>
      </c>
      <c r="H6" t="s">
        <v>459</v>
      </c>
      <c r="I6" t="str">
        <f t="shared" si="0"/>
        <v>james.mulligan@somecompany.com</v>
      </c>
    </row>
    <row r="7" spans="1:9" x14ac:dyDescent="0.25">
      <c r="A7" t="s">
        <v>384</v>
      </c>
      <c r="B7" t="s">
        <v>120</v>
      </c>
      <c r="C7" t="s">
        <v>404</v>
      </c>
      <c r="D7">
        <v>64</v>
      </c>
      <c r="E7" t="s">
        <v>419</v>
      </c>
      <c r="F7" t="s">
        <v>434</v>
      </c>
      <c r="G7" t="s">
        <v>446</v>
      </c>
      <c r="H7" t="s">
        <v>458</v>
      </c>
      <c r="I7" t="str">
        <f t="shared" si="0"/>
        <v>lee.maxwell@somecompany.com</v>
      </c>
    </row>
    <row r="8" spans="1:9" x14ac:dyDescent="0.25">
      <c r="A8" t="s">
        <v>384</v>
      </c>
      <c r="B8" t="s">
        <v>388</v>
      </c>
      <c r="C8" t="s">
        <v>398</v>
      </c>
      <c r="D8">
        <v>12</v>
      </c>
      <c r="E8" t="s">
        <v>412</v>
      </c>
      <c r="F8" t="s">
        <v>427</v>
      </c>
      <c r="G8" t="s">
        <v>442</v>
      </c>
      <c r="H8" t="s">
        <v>451</v>
      </c>
      <c r="I8" t="str">
        <f t="shared" si="0"/>
        <v>michael.chambers@somecompany.com</v>
      </c>
    </row>
    <row r="9" spans="1:9" x14ac:dyDescent="0.25">
      <c r="A9" t="s">
        <v>384</v>
      </c>
      <c r="B9" t="s">
        <v>387</v>
      </c>
      <c r="C9" t="s">
        <v>397</v>
      </c>
      <c r="D9">
        <v>209</v>
      </c>
      <c r="E9" t="s">
        <v>411</v>
      </c>
      <c r="F9" t="s">
        <v>426</v>
      </c>
      <c r="G9" t="s">
        <v>441</v>
      </c>
      <c r="H9" t="s">
        <v>450</v>
      </c>
      <c r="I9" t="str">
        <f t="shared" si="0"/>
        <v>rav.bhopal@somecompany.com</v>
      </c>
    </row>
    <row r="10" spans="1:9" x14ac:dyDescent="0.25">
      <c r="A10" t="s">
        <v>383</v>
      </c>
      <c r="B10" t="s">
        <v>386</v>
      </c>
      <c r="C10" t="s">
        <v>106</v>
      </c>
      <c r="D10">
        <v>12</v>
      </c>
      <c r="E10" t="s">
        <v>410</v>
      </c>
      <c r="F10" t="s">
        <v>425</v>
      </c>
      <c r="G10" t="s">
        <v>440</v>
      </c>
      <c r="H10" t="s">
        <v>449</v>
      </c>
      <c r="I10" t="str">
        <f t="shared" si="0"/>
        <v>deborah.ashby@somecompany.com</v>
      </c>
    </row>
    <row r="11" spans="1:9" x14ac:dyDescent="0.25">
      <c r="A11" t="s">
        <v>383</v>
      </c>
      <c r="B11" t="s">
        <v>389</v>
      </c>
      <c r="C11" t="s">
        <v>401</v>
      </c>
      <c r="D11">
        <v>84</v>
      </c>
      <c r="E11" t="s">
        <v>415</v>
      </c>
      <c r="F11" t="s">
        <v>430</v>
      </c>
      <c r="G11" t="s">
        <v>443</v>
      </c>
      <c r="H11" t="s">
        <v>454</v>
      </c>
      <c r="I11" t="str">
        <f t="shared" si="0"/>
        <v>jennifer.flowers@somecompany.com</v>
      </c>
    </row>
    <row r="12" spans="1:9" x14ac:dyDescent="0.25">
      <c r="A12" t="s">
        <v>383</v>
      </c>
      <c r="B12" t="s">
        <v>396</v>
      </c>
      <c r="C12" t="s">
        <v>409</v>
      </c>
      <c r="D12">
        <v>36</v>
      </c>
      <c r="E12" t="s">
        <v>424</v>
      </c>
      <c r="F12" t="s">
        <v>439</v>
      </c>
      <c r="G12" t="s">
        <v>443</v>
      </c>
      <c r="H12" t="s">
        <v>463</v>
      </c>
      <c r="I12" t="str">
        <f t="shared" si="0"/>
        <v>susie.smith@somecompany.com</v>
      </c>
    </row>
    <row r="13" spans="1:9" x14ac:dyDescent="0.25">
      <c r="A13" t="s">
        <v>383</v>
      </c>
      <c r="B13" t="s">
        <v>395</v>
      </c>
      <c r="C13" t="s">
        <v>408</v>
      </c>
      <c r="D13">
        <v>65</v>
      </c>
      <c r="E13" t="s">
        <v>423</v>
      </c>
      <c r="F13" t="s">
        <v>438</v>
      </c>
      <c r="G13" t="s">
        <v>438</v>
      </c>
      <c r="H13" t="s">
        <v>462</v>
      </c>
      <c r="I13" t="str">
        <f t="shared" si="0"/>
        <v>yasmin.shah@somecompany.com</v>
      </c>
    </row>
    <row r="14" spans="1:9" x14ac:dyDescent="0.25">
      <c r="A14" t="s">
        <v>385</v>
      </c>
      <c r="B14" t="s">
        <v>390</v>
      </c>
      <c r="C14" t="s">
        <v>402</v>
      </c>
      <c r="D14">
        <v>45</v>
      </c>
      <c r="E14" t="s">
        <v>416</v>
      </c>
      <c r="F14" t="s">
        <v>431</v>
      </c>
      <c r="G14" t="s">
        <v>444</v>
      </c>
      <c r="H14" t="s">
        <v>455</v>
      </c>
      <c r="I14" t="str">
        <f t="shared" si="0"/>
        <v>anna.hernandez@somecompany.com</v>
      </c>
    </row>
    <row r="15" spans="1:9" x14ac:dyDescent="0.25">
      <c r="A15" t="s">
        <v>385</v>
      </c>
      <c r="B15" t="s">
        <v>119</v>
      </c>
      <c r="C15" t="s">
        <v>399</v>
      </c>
      <c r="D15">
        <v>25</v>
      </c>
      <c r="E15" t="s">
        <v>413</v>
      </c>
      <c r="F15" t="s">
        <v>428</v>
      </c>
      <c r="G15" t="s">
        <v>440</v>
      </c>
      <c r="H15" t="s">
        <v>452</v>
      </c>
      <c r="I15" t="str">
        <f t="shared" si="0"/>
        <v>ben.chapel@somecompany.com</v>
      </c>
    </row>
    <row r="16" spans="1:9" x14ac:dyDescent="0.25">
      <c r="A16" t="s">
        <v>385</v>
      </c>
      <c r="B16" t="s">
        <v>394</v>
      </c>
      <c r="C16" t="s">
        <v>407</v>
      </c>
      <c r="D16">
        <v>82</v>
      </c>
      <c r="E16" t="s">
        <v>422</v>
      </c>
      <c r="F16" t="s">
        <v>437</v>
      </c>
      <c r="G16" t="s">
        <v>448</v>
      </c>
      <c r="H16" t="s">
        <v>461</v>
      </c>
      <c r="I16" t="str">
        <f t="shared" si="0"/>
        <v>heather.saunders@somecompany.com</v>
      </c>
    </row>
    <row r="17" spans="1:9" x14ac:dyDescent="0.25">
      <c r="A17" t="s">
        <v>385</v>
      </c>
      <c r="B17" t="s">
        <v>155</v>
      </c>
      <c r="C17" t="s">
        <v>400</v>
      </c>
      <c r="D17">
        <v>98</v>
      </c>
      <c r="E17" t="s">
        <v>414</v>
      </c>
      <c r="F17" t="s">
        <v>429</v>
      </c>
      <c r="G17" t="s">
        <v>440</v>
      </c>
      <c r="H17" t="s">
        <v>453</v>
      </c>
      <c r="I17" t="str">
        <f t="shared" si="0"/>
        <v>julie.dwyer@somecompany.com</v>
      </c>
    </row>
    <row r="18" spans="1:9" x14ac:dyDescent="0.25">
      <c r="A18" t="s">
        <v>385</v>
      </c>
      <c r="B18" t="s">
        <v>393</v>
      </c>
      <c r="C18" t="s">
        <v>406</v>
      </c>
      <c r="D18">
        <v>56</v>
      </c>
      <c r="E18" t="s">
        <v>421</v>
      </c>
      <c r="F18" t="s">
        <v>436</v>
      </c>
      <c r="G18" t="s">
        <v>444</v>
      </c>
      <c r="H18" t="s">
        <v>460</v>
      </c>
      <c r="I18" t="str">
        <f t="shared" si="0"/>
        <v>maria.sanchez@somecompany.com</v>
      </c>
    </row>
  </sheetData>
  <sortState xmlns:xlrd2="http://schemas.microsoft.com/office/spreadsheetml/2017/richdata2" ref="A4:I18">
    <sortCondition ref="A4:A18" customList="Mr,Miss,Mrs"/>
  </sortState>
  <mergeCells count="1">
    <mergeCell ref="A1:XF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6223C-9DE3-44EA-BFD7-5ACCDDBF5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Home</vt:lpstr>
      <vt:lpstr>Absolute_Relative_Referencing</vt:lpstr>
      <vt:lpstr>Autosum_Autofill</vt:lpstr>
      <vt:lpstr>Flash_Fill</vt:lpstr>
      <vt:lpstr>Named_Ranges</vt:lpstr>
      <vt:lpstr>Number_Formatting</vt:lpstr>
      <vt:lpstr>Date_Time_Format</vt:lpstr>
      <vt:lpstr>Format_Painter</vt:lpstr>
      <vt:lpstr>Readability_Cell_Styles</vt:lpstr>
      <vt:lpstr>List_Lock_Cells</vt:lpstr>
      <vt:lpstr>The_IF_Function</vt:lpstr>
      <vt:lpstr>Nested_IF</vt:lpstr>
      <vt:lpstr>Error_Functions</vt:lpstr>
      <vt:lpstr>INDEX_and_MATCH</vt:lpstr>
      <vt:lpstr>XLOOKUP_and_XMATCH</vt:lpstr>
      <vt:lpstr>Multiple_Sort</vt:lpstr>
      <vt:lpstr>Custom_List_Sorting</vt:lpstr>
      <vt:lpstr>App</vt:lpstr>
      <vt:lpstr>Customer</vt:lpstr>
      <vt:lpstr>Dept</vt:lpstr>
      <vt:lpstr>Employee_Name</vt:lpstr>
      <vt:lpstr>Order</vt:lpstr>
      <vt:lpstr>Price_Per_Unit</vt:lpstr>
      <vt:lpstr>Quantity</vt:lpstr>
      <vt:lpstr>Revenue</vt:lpstr>
      <vt:lpstr>Salary</vt:lpstr>
      <vt:lpstr>Total</vt:lpstr>
      <vt:lpstr>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cp:lastPrinted>2026-08-23T12:59:17Z</cp:lastPrinted>
  <dcterms:created xsi:type="dcterms:W3CDTF">2015-06-05T18:17:20Z</dcterms:created>
  <dcterms:modified xsi:type="dcterms:W3CDTF">2026-10-03T04:26:52Z</dcterms:modified>
</cp:coreProperties>
</file>