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Work\Desktop\ExcelRevise\ExternalRevisionFiles\"/>
    </mc:Choice>
  </mc:AlternateContent>
  <xr:revisionPtr revIDLastSave="0" documentId="13_ncr:1_{17D9A7B1-10F8-4344-A9C1-8EF08363D24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XERCISE 02" sheetId="1" r:id="rId1"/>
  </sheets>
  <definedNames>
    <definedName name="Athlete_Name">'EXERCISE 02'!$A$4:$A$28</definedName>
    <definedName name="Bib_Number">'EXERCISE 02'!$B$4:$B$28</definedName>
    <definedName name="Event">'EXERCISE 02'!$C$4:$C$28</definedName>
    <definedName name="Position">'EXERCISE 02'!$E$4:$E$28</definedName>
    <definedName name="Route">'EXERCISE 02'!$D$4:$D$28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7" i="1"/>
  <c r="H6" i="1"/>
</calcChain>
</file>

<file path=xl/sharedStrings.xml><?xml version="1.0" encoding="utf-8"?>
<sst xmlns="http://schemas.openxmlformats.org/spreadsheetml/2006/main" count="86" uniqueCount="36">
  <si>
    <t>EXERCISE 02 - Lookup Functions</t>
  </si>
  <si>
    <t>Athlete Name</t>
  </si>
  <si>
    <t>Bib Number</t>
  </si>
  <si>
    <t>Event</t>
  </si>
  <si>
    <t>Route</t>
  </si>
  <si>
    <t>Position</t>
  </si>
  <si>
    <t>Athlete</t>
  </si>
  <si>
    <t>Page, Lisa</t>
  </si>
  <si>
    <t>Duran, Brian</t>
  </si>
  <si>
    <t>O'Connor, Kent</t>
  </si>
  <si>
    <t>Spencer, Lucy</t>
  </si>
  <si>
    <t>Tanner, Claire</t>
  </si>
  <si>
    <t>Wilkins, Jesse</t>
  </si>
  <si>
    <t>Holland, Donald</t>
  </si>
  <si>
    <t>Burton, Cam</t>
  </si>
  <si>
    <t>Todd, Steven</t>
  </si>
  <si>
    <t>Thornton, Charles</t>
  </si>
  <si>
    <t>Taylor, Hector</t>
  </si>
  <si>
    <t>Dawson, Jonathan</t>
  </si>
  <si>
    <t>Weber, Larry</t>
  </si>
  <si>
    <t>Pratt, Erik</t>
  </si>
  <si>
    <t>Wiggins, Frank</t>
  </si>
  <si>
    <t>Strickland, Rajean</t>
  </si>
  <si>
    <t>Chase, Susan</t>
  </si>
  <si>
    <t>Brewer, Kent</t>
  </si>
  <si>
    <t>White, Daniel</t>
  </si>
  <si>
    <t>Rowe, Ken</t>
  </si>
  <si>
    <t>Phillips, Liesl</t>
  </si>
  <si>
    <t>Gallagher, Johnson</t>
  </si>
  <si>
    <t>Wolf, Debbie</t>
  </si>
  <si>
    <t>McKenzie, Michelle</t>
  </si>
  <si>
    <t>Full Marathon</t>
  </si>
  <si>
    <t>East Loop</t>
  </si>
  <si>
    <t>West Loop</t>
  </si>
  <si>
    <t>Leon</t>
  </si>
  <si>
    <t>North 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</si>
</sst>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/>
      </left>
      <right/>
      <top/>
      <bottom/>
      <diagonal/>
    </border>
    <border>
      <left style="thin">
        <color theme="8"/>
      </left>
      <right style="thin">
        <color theme="8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6">
    <xf numFmtId="0" fontId="0" fillId="0" borderId="0" xfId="0"/>
    <xf numFmtId="0" fontId="1" fillId="0" borderId="1" xfId="1" applyAlignment="1">
      <alignment horizontal="left" vertical="center"/>
    </xf>
    <xf numFmtId="0" fontId="0" fillId="0" borderId="2" xfId="0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</cellXfs>
  <cellStyles count="2">
    <cellStyle name="Heading 1" xfId="1" builtinId="16"/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  <border diagonalUp="0" diagonalDown="0" outline="0">
        <left style="thin">
          <color theme="8"/>
        </left>
        <right style="thin">
          <color theme="8"/>
        </right>
        <top/>
        <bottom/>
      </border>
    </dxf>
    <dxf>
      <border outline="0">
        <top style="thin">
          <color theme="8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581025</xdr:colOff>
      <xdr:row>1</xdr:row>
      <xdr:rowOff>142875</xdr:rowOff>
    </xdr:from>
    <xdr:to>
      <xdr:col>11</xdr:col>
      <xdr:colOff>400050</xdr:colOff>
      <xdr:row>5</xdr:row>
      <xdr:rowOff>28575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ADC2D50-E352-FC63-1998-DAF187D4FCEE}"/>
            </a:ext>
          </a:extLst>
        </xdr:cNvPr>
        <xdr:cNvSpPr txBox="1"/>
      </xdr:nvSpPr>
      <xdr:spPr>
        <a:xfrm>
          <a:off x="8867775" y="485775"/>
          <a:ext cx="1647825" cy="657225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Create a </a:t>
          </a:r>
          <a:r>
            <a:rPr lang="en-US" sz="1100" b="1">
              <a:solidFill>
                <a:schemeClr val="bg1"/>
              </a:solidFill>
            </a:rPr>
            <a:t>data validation</a:t>
          </a:r>
          <a:r>
            <a:rPr lang="en-US" sz="1100" b="1" baseline="0">
              <a:solidFill>
                <a:schemeClr val="bg1"/>
              </a:solidFill>
            </a:rPr>
            <a:t> </a:t>
          </a:r>
          <a:r>
            <a:rPr lang="en-US" sz="1100" baseline="0">
              <a:solidFill>
                <a:schemeClr val="bg1"/>
              </a:solidFill>
            </a:rPr>
            <a:t>drop-down list in cell H3 that lists the athletes.</a:t>
          </a:r>
        </a:p>
      </xdr:txBody>
    </xdr:sp>
    <xdr:clientData/>
  </xdr:twoCellAnchor>
  <xdr:twoCellAnchor>
    <xdr:from>
      <xdr:col>8</xdr:col>
      <xdr:colOff>581025</xdr:colOff>
      <xdr:row>6</xdr:row>
      <xdr:rowOff>28576</xdr:rowOff>
    </xdr:from>
    <xdr:to>
      <xdr:col>11</xdr:col>
      <xdr:colOff>428625</xdr:colOff>
      <xdr:row>9</xdr:row>
      <xdr:rowOff>85725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B3CF28C-F2CF-9282-CF6E-F88C0107FD64}"/>
            </a:ext>
          </a:extLst>
        </xdr:cNvPr>
        <xdr:cNvSpPr txBox="1"/>
      </xdr:nvSpPr>
      <xdr:spPr>
        <a:xfrm>
          <a:off x="8867775" y="1333501"/>
          <a:ext cx="1676400" cy="628649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Using a lookup</a:t>
          </a:r>
          <a:r>
            <a:rPr lang="en-US" sz="1100" baseline="0">
              <a:solidFill>
                <a:schemeClr val="bg1"/>
              </a:solidFill>
            </a:rPr>
            <a:t> function of your choice, return the result in column H.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561975</xdr:colOff>
      <xdr:row>10</xdr:row>
      <xdr:rowOff>142875</xdr:rowOff>
    </xdr:from>
    <xdr:to>
      <xdr:col>11</xdr:col>
      <xdr:colOff>466725</xdr:colOff>
      <xdr:row>14</xdr:row>
      <xdr:rowOff>38100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98493A1-AADD-DF3F-4C3C-C170F89C1706}"/>
            </a:ext>
          </a:extLst>
        </xdr:cNvPr>
        <xdr:cNvSpPr txBox="1"/>
      </xdr:nvSpPr>
      <xdr:spPr>
        <a:xfrm>
          <a:off x="8848725" y="2209800"/>
          <a:ext cx="1733550" cy="657225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Add error checking to the formula to account for any #N/A errors that</a:t>
          </a:r>
          <a:r>
            <a:rPr lang="en-US" sz="1100" baseline="0">
              <a:solidFill>
                <a:schemeClr val="bg1"/>
              </a:solidFill>
            </a:rPr>
            <a:t> may occur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801F50-EC9C-436A-9D57-D98886C5E0D3}" name="Table3" displayName="Table3" ref="A3:E28" totalsRowShown="0" headerRowDxfId="0" tableBorderDxfId="1">
  <autoFilter ref="A3:E28" xr:uid="{B6801F50-EC9C-436A-9D57-D98886C5E0D3}"/>
  <tableColumns count="5">
    <tableColumn id="1" xr3:uid="{DBF824BE-5A7D-4AD2-ABA3-DF17CE9E936E}" name="Athlete Name"/>
    <tableColumn id="2" xr3:uid="{F6ED9023-0DF0-4C16-ADA0-F45B9203236C}" name="Bib Number"/>
    <tableColumn id="3" xr3:uid="{9BB40416-595B-414B-B1F7-D14832AFEF50}" name="Event"/>
    <tableColumn id="4" xr3:uid="{9F27940E-A666-4E3B-91C4-26E49EE5B3FB}" name="Route"/>
    <tableColumn id="5" xr3:uid="{5837D273-CDAC-42A7-8837-0DD6806F097A}" name="Pos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H3" sqref="H3"/>
    </sheetView>
  </sheetViews>
  <sheetFormatPr defaultRowHeight="15" x14ac:dyDescent="0.25"/>
  <cols>
    <col min="1" max="1" width="18" customWidth="1"/>
    <col min="2" max="2" width="14.7109375" customWidth="1"/>
    <col min="3" max="3" width="16" customWidth="1"/>
    <col min="4" max="5" width="14.7109375" customWidth="1"/>
    <col min="7" max="7" width="13.140625" customWidth="1"/>
    <col min="8" max="8" width="25.140625" customWidth="1"/>
  </cols>
  <sheetData>
    <row r="1" spans="1:8" s="1" customFormat="1" ht="27" customHeight="1" thickBot="1" x14ac:dyDescent="0.3">
      <c r="A1" s="1" t="s">
        <v>0</v>
      </c>
    </row>
    <row r="2" spans="1:8" ht="15.75" thickTop="1" x14ac:dyDescent="0.25"/>
    <row r="3" spans="1:8" x14ac:dyDescent="0.25">
      <c r="A3" s="4" t="s">
        <v>1</v>
      </c>
      <c r="B3" s="4" t="s">
        <v>2</v>
      </c>
      <c r="C3" s="4" t="s">
        <v>3</v>
      </c>
      <c r="D3" s="4" t="s">
        <v>4</v>
      </c>
      <c r="E3" s="5" t="s">
        <v>5</v>
      </c>
      <c r="G3" s="3" t="s">
        <v>6</v>
      </c>
      <c r="H3" s="2" t="s">
        <v>34</v>
      </c>
    </row>
    <row r="4" spans="1:8" x14ac:dyDescent="0.25">
      <c r="A4" t="s">
        <v>7</v>
      </c>
      <c r="B4">
        <v>1012</v>
      </c>
      <c r="C4" t="s">
        <v>31</v>
      </c>
      <c r="D4" t="s">
        <v>32</v>
      </c>
      <c r="E4">
        <v>8</v>
      </c>
    </row>
    <row r="5" spans="1:8" x14ac:dyDescent="0.25">
      <c r="A5" t="s">
        <v>8</v>
      </c>
      <c r="B5">
        <v>1491</v>
      </c>
      <c r="C5" t="s">
        <v>31</v>
      </c>
      <c r="D5" t="s">
        <v>32</v>
      </c>
      <c r="E5">
        <v>6</v>
      </c>
      <c r="G5" s="3" t="s">
        <v>2</v>
      </c>
      <c r="H5" s="2">
        <f>_xlfn.IFNA(VLOOKUP(H3,A3:E28,2,0), "Not Found")</f>
        <v>3333</v>
      </c>
    </row>
    <row r="6" spans="1:8" x14ac:dyDescent="0.25">
      <c r="A6" t="s">
        <v>9</v>
      </c>
      <c r="B6">
        <v>1858</v>
      </c>
      <c r="C6" t="s">
        <v>31</v>
      </c>
      <c r="D6" t="s">
        <v>32</v>
      </c>
      <c r="E6">
        <v>10</v>
      </c>
      <c r="G6" s="3" t="s">
        <v>4</v>
      </c>
      <c r="H6" s="2" t="str">
        <f>INDEX(Route,MATCH(H3,Athlete_Name,0))</f>
        <v>North Loop</v>
      </c>
    </row>
    <row r="7" spans="1:8" x14ac:dyDescent="0.25">
      <c r="A7" t="s">
        <v>10</v>
      </c>
      <c r="B7">
        <v>1920</v>
      </c>
      <c r="C7" t="s">
        <v>31</v>
      </c>
      <c r="D7" t="s">
        <v>32</v>
      </c>
      <c r="E7">
        <v>1</v>
      </c>
      <c r="G7" s="3" t="s">
        <v>5</v>
      </c>
      <c r="H7" s="2">
        <f>_xlfn.XLOOKUP(H3,Athlete_Name,Position, "Not Found",0,1)</f>
        <v>1</v>
      </c>
    </row>
    <row r="8" spans="1:8" x14ac:dyDescent="0.25">
      <c r="A8" t="s">
        <v>11</v>
      </c>
      <c r="B8">
        <v>1789</v>
      </c>
      <c r="C8" t="s">
        <v>31</v>
      </c>
      <c r="D8" t="s">
        <v>32</v>
      </c>
      <c r="E8">
        <v>2</v>
      </c>
    </row>
    <row r="9" spans="1:8" x14ac:dyDescent="0.25">
      <c r="A9" t="s">
        <v>12</v>
      </c>
      <c r="B9">
        <v>1997</v>
      </c>
      <c r="C9" t="s">
        <v>31</v>
      </c>
      <c r="D9" t="s">
        <v>32</v>
      </c>
      <c r="E9">
        <v>4</v>
      </c>
    </row>
    <row r="10" spans="1:8" x14ac:dyDescent="0.25">
      <c r="A10" t="s">
        <v>13</v>
      </c>
      <c r="B10">
        <v>1090</v>
      </c>
      <c r="C10" t="s">
        <v>31</v>
      </c>
      <c r="D10" t="s">
        <v>32</v>
      </c>
      <c r="E10">
        <v>7</v>
      </c>
    </row>
    <row r="11" spans="1:8" x14ac:dyDescent="0.25">
      <c r="A11" t="s">
        <v>14</v>
      </c>
      <c r="B11">
        <v>1958</v>
      </c>
      <c r="C11" t="s">
        <v>31</v>
      </c>
      <c r="D11" t="s">
        <v>32</v>
      </c>
      <c r="E11">
        <v>3</v>
      </c>
    </row>
    <row r="12" spans="1:8" x14ac:dyDescent="0.25">
      <c r="A12" t="s">
        <v>15</v>
      </c>
      <c r="B12">
        <v>1471</v>
      </c>
      <c r="C12" t="s">
        <v>31</v>
      </c>
      <c r="D12" t="s">
        <v>32</v>
      </c>
      <c r="E12">
        <v>5</v>
      </c>
    </row>
    <row r="13" spans="1:8" x14ac:dyDescent="0.25">
      <c r="A13" t="s">
        <v>16</v>
      </c>
      <c r="B13">
        <v>1215</v>
      </c>
      <c r="C13" t="s">
        <v>31</v>
      </c>
      <c r="D13" t="s">
        <v>32</v>
      </c>
      <c r="E13">
        <v>9</v>
      </c>
    </row>
    <row r="14" spans="1:8" x14ac:dyDescent="0.25">
      <c r="A14" t="s">
        <v>17</v>
      </c>
      <c r="B14">
        <v>1228</v>
      </c>
      <c r="C14" t="s">
        <v>31</v>
      </c>
      <c r="D14" t="s">
        <v>33</v>
      </c>
      <c r="E14">
        <v>2</v>
      </c>
    </row>
    <row r="15" spans="1:8" x14ac:dyDescent="0.25">
      <c r="A15" t="s">
        <v>18</v>
      </c>
      <c r="B15">
        <v>1743</v>
      </c>
      <c r="C15" t="s">
        <v>31</v>
      </c>
      <c r="D15" t="s">
        <v>33</v>
      </c>
      <c r="E15">
        <v>9</v>
      </c>
    </row>
    <row r="16" spans="1:8" x14ac:dyDescent="0.25">
      <c r="A16" t="s">
        <v>19</v>
      </c>
      <c r="B16">
        <v>1935</v>
      </c>
      <c r="C16" t="s">
        <v>31</v>
      </c>
      <c r="D16" t="s">
        <v>33</v>
      </c>
      <c r="E16">
        <v>12</v>
      </c>
    </row>
    <row r="17" spans="1:5" x14ac:dyDescent="0.25">
      <c r="A17" t="s">
        <v>20</v>
      </c>
      <c r="B17">
        <v>1880</v>
      </c>
      <c r="C17" t="s">
        <v>31</v>
      </c>
      <c r="D17" t="s">
        <v>33</v>
      </c>
      <c r="E17">
        <v>3</v>
      </c>
    </row>
    <row r="18" spans="1:5" x14ac:dyDescent="0.25">
      <c r="A18" t="s">
        <v>21</v>
      </c>
      <c r="B18">
        <v>1747</v>
      </c>
      <c r="C18" t="s">
        <v>31</v>
      </c>
      <c r="D18" t="s">
        <v>33</v>
      </c>
      <c r="E18">
        <v>6</v>
      </c>
    </row>
    <row r="19" spans="1:5" x14ac:dyDescent="0.25">
      <c r="A19" t="s">
        <v>22</v>
      </c>
      <c r="B19">
        <v>1352</v>
      </c>
      <c r="C19" t="s">
        <v>31</v>
      </c>
      <c r="D19" t="s">
        <v>33</v>
      </c>
      <c r="E19">
        <v>13</v>
      </c>
    </row>
    <row r="20" spans="1:5" x14ac:dyDescent="0.25">
      <c r="A20" t="s">
        <v>23</v>
      </c>
      <c r="B20">
        <v>1383</v>
      </c>
      <c r="C20" t="s">
        <v>31</v>
      </c>
      <c r="D20" t="s">
        <v>33</v>
      </c>
      <c r="E20">
        <v>10</v>
      </c>
    </row>
    <row r="21" spans="1:5" x14ac:dyDescent="0.25">
      <c r="A21" t="s">
        <v>24</v>
      </c>
      <c r="B21">
        <v>1230</v>
      </c>
      <c r="C21" t="s">
        <v>31</v>
      </c>
      <c r="D21" t="s">
        <v>33</v>
      </c>
      <c r="E21">
        <v>7</v>
      </c>
    </row>
    <row r="22" spans="1:5" x14ac:dyDescent="0.25">
      <c r="A22" t="s">
        <v>25</v>
      </c>
      <c r="B22">
        <v>1310</v>
      </c>
      <c r="C22" t="s">
        <v>31</v>
      </c>
      <c r="D22" t="s">
        <v>33</v>
      </c>
      <c r="E22">
        <v>11</v>
      </c>
    </row>
    <row r="23" spans="1:5" x14ac:dyDescent="0.25">
      <c r="A23" t="s">
        <v>26</v>
      </c>
      <c r="B23">
        <v>1701</v>
      </c>
      <c r="C23" t="s">
        <v>31</v>
      </c>
      <c r="D23" t="s">
        <v>33</v>
      </c>
      <c r="E23">
        <v>5</v>
      </c>
    </row>
    <row r="24" spans="1:5" x14ac:dyDescent="0.25">
      <c r="A24" t="s">
        <v>27</v>
      </c>
      <c r="B24">
        <v>1515</v>
      </c>
      <c r="C24" t="s">
        <v>31</v>
      </c>
      <c r="D24" t="s">
        <v>33</v>
      </c>
      <c r="E24">
        <v>4</v>
      </c>
    </row>
    <row r="25" spans="1:5" x14ac:dyDescent="0.25">
      <c r="A25" t="s">
        <v>28</v>
      </c>
      <c r="B25">
        <v>1996</v>
      </c>
      <c r="C25" t="s">
        <v>31</v>
      </c>
      <c r="D25" t="s">
        <v>33</v>
      </c>
      <c r="E25">
        <v>8</v>
      </c>
    </row>
    <row r="26" spans="1:5" x14ac:dyDescent="0.25">
      <c r="A26" t="s">
        <v>29</v>
      </c>
      <c r="B26">
        <v>1128</v>
      </c>
      <c r="C26" t="s">
        <v>31</v>
      </c>
      <c r="D26" t="s">
        <v>33</v>
      </c>
      <c r="E26">
        <v>14</v>
      </c>
    </row>
    <row r="27" spans="1:5" x14ac:dyDescent="0.25">
      <c r="A27" t="s">
        <v>30</v>
      </c>
      <c r="B27">
        <v>1734</v>
      </c>
      <c r="C27" t="s">
        <v>31</v>
      </c>
      <c r="D27" t="s">
        <v>33</v>
      </c>
      <c r="E27">
        <v>1</v>
      </c>
    </row>
    <row r="28" spans="1:5" x14ac:dyDescent="0.25">
      <c r="A28" t="s">
        <v>34</v>
      </c>
      <c r="B28">
        <v>3333</v>
      </c>
      <c r="C28" t="s">
        <v>31</v>
      </c>
      <c r="D28" t="s">
        <v>35</v>
      </c>
      <c r="E28">
        <v>1</v>
      </c>
    </row>
  </sheetData>
  <mergeCells count="1">
    <mergeCell ref="A1:XFD1"/>
  </mergeCells>
  <dataValidations count="1">
    <dataValidation type="list" allowBlank="1" showInputMessage="1" showErrorMessage="1" sqref="H3" xr:uid="{4EAD050E-6B30-4703-A1FB-A30BBCC4365C}">
      <formula1>Athlete_Name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EXERCISE 02</vt:lpstr>
      <vt:lpstr>Athlete_Name</vt:lpstr>
      <vt:lpstr>Bib_Number</vt:lpstr>
      <vt:lpstr>Event</vt:lpstr>
      <vt:lpstr>Position</vt:lpstr>
      <vt:lpstr>Route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Work</cp:lastModifiedBy>
  <dcterms:created xsi:type="dcterms:W3CDTF">2015-06-05T18:17:20Z</dcterms:created>
  <dcterms:modified xsi:type="dcterms:W3CDTF">2026-09-10T14:14:26Z</dcterms:modified>
</cp:coreProperties>
</file>