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intermediate_excel\"/>
    </mc:Choice>
  </mc:AlternateContent>
  <xr:revisionPtr revIDLastSave="0" documentId="13_ncr:1_{525BF149-7DB8-42FD-B255-ED8CAA4C24B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ample 1" sheetId="1" r:id="rId1"/>
    <sheet name="Exampl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 a="1"/>
  <c r="H5" i="1" a="1"/>
  <c r="H6" i="1" a="1"/>
  <c r="H7" i="1" a="1"/>
  <c r="H8" i="1" a="1"/>
  <c r="H9" i="1" a="1"/>
  <c r="H10" i="1" a="1"/>
  <c r="H11" i="1" a="1"/>
  <c r="H12" i="1" a="1"/>
  <c r="H13" i="1" a="1"/>
  <c r="H14" i="1" a="1"/>
  <c r="H15" i="1" a="1"/>
  <c r="H16" i="1" a="1"/>
  <c r="H17" i="1" a="1"/>
  <c r="H18" i="1" a="1"/>
  <c r="H19" i="1" a="1"/>
  <c r="H20" i="1" a="1"/>
  <c r="H21" i="1" a="1"/>
  <c r="H22" i="1" a="1"/>
  <c r="H23" i="1" a="1"/>
  <c r="H24" i="1" a="1"/>
  <c r="H25" i="1" a="1"/>
  <c r="H26" i="1" a="1"/>
  <c r="H27" i="1" a="1"/>
  <c r="H28" i="1" a="1"/>
  <c r="H29" i="1" a="1"/>
  <c r="H30" i="1" a="1"/>
  <c r="H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<sst xmlns="http://schemas.openxmlformats.org/spreadsheetml/2006/main" count="106" uniqueCount="59">
  <si>
    <t>Emplyee Name</t>
  </si>
  <si>
    <t xml:space="preserve">Building </t>
  </si>
  <si>
    <t>Department</t>
  </si>
  <si>
    <t>Hire Date</t>
  </si>
  <si>
    <t>Years</t>
  </si>
  <si>
    <t>Salary</t>
  </si>
  <si>
    <t>Job Rating</t>
  </si>
  <si>
    <t>Bounus</t>
  </si>
  <si>
    <t xml:space="preserve">Job Rating </t>
  </si>
  <si>
    <t>Leon Kenedy</t>
  </si>
  <si>
    <t>West</t>
  </si>
  <si>
    <t>ADC</t>
  </si>
  <si>
    <t>Deborah Ashby</t>
  </si>
  <si>
    <t>Adam Lacey</t>
  </si>
  <si>
    <t>Ben Lee</t>
  </si>
  <si>
    <t>Taft</t>
  </si>
  <si>
    <t>Sarah Jones</t>
  </si>
  <si>
    <t>Watson</t>
  </si>
  <si>
    <t>Olivia Green</t>
  </si>
  <si>
    <t>North</t>
  </si>
  <si>
    <t>Training</t>
  </si>
  <si>
    <t>Ming Sia</t>
  </si>
  <si>
    <t>David Patterson</t>
  </si>
  <si>
    <t>Main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</si>
  <si>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</si>
  <si>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</si>
  <si>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</si>
  <si>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</si>
  <si>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</si>
  <si>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</si>
  <si>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</si>
  <si>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</si>
  <si>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South</t>
  </si>
  <si>
    <t>Ada Wang</t>
  </si>
  <si>
    <t>Ashley Grahm</t>
  </si>
  <si>
    <t>Pedro Costa</t>
  </si>
  <si>
    <t>Tina Ray</t>
  </si>
  <si>
    <t>Abel Ballard</t>
  </si>
  <si>
    <t>Gretchen Williams</t>
  </si>
  <si>
    <t>Jordan Rodgers</t>
  </si>
  <si>
    <t>Environmental Corp</t>
  </si>
  <si>
    <t>Tomas Barnett</t>
  </si>
  <si>
    <t>Henrietta Ramsey</t>
  </si>
  <si>
    <t>Patrick Baker</t>
  </si>
  <si>
    <t>Austin Farmer</t>
  </si>
  <si>
    <t>Nested Ifs Function</t>
  </si>
  <si>
    <t>Nested IFs Function</t>
  </si>
  <si>
    <t>Day of the Week</t>
  </si>
  <si>
    <t>Sunday</t>
  </si>
  <si>
    <t>Monday</t>
  </si>
  <si>
    <t>Tuesday</t>
  </si>
  <si>
    <t>Wednesday</t>
  </si>
  <si>
    <t>Thursday</t>
  </si>
  <si>
    <t>Friday</t>
  </si>
  <si>
    <t>Saturday</t>
  </si>
  <si>
    <t>Day Number</t>
  </si>
  <si>
    <t>Day</t>
  </si>
  <si>
    <t>List of Numbers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</si>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</sst>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18">
    <xf numFmtId="0" fontId="0" fillId="0" borderId="0" xfId="0"/>
    <xf numFmtId="0" fontId="1" fillId="0" borderId="1" xfId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14" fontId="0" fillId="0" borderId="3" xfId="0" applyNumberFormat="1" applyBorder="1"/>
    <xf numFmtId="44" fontId="0" fillId="0" borderId="3" xfId="0" applyNumberFormat="1" applyBorder="1"/>
    <xf numFmtId="0" fontId="0" fillId="0" borderId="3" xfId="0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1"/>
    <xf numFmtId="0" fontId="2" fillId="2" borderId="2" xfId="2"/>
    <xf numFmtId="0" fontId="0" fillId="4" borderId="4" xfId="0" applyFill="1" applyBorder="1"/>
    <xf numFmtId="0" fontId="4" fillId="0" borderId="5" xfId="0" applyFont="1" applyBorder="1"/>
    <xf numFmtId="0" fontId="0" fillId="0" borderId="6" xfId="0" applyBorder="1"/>
    <xf numFmtId="0" fontId="2" fillId="2" borderId="7" xfId="2" applyBorder="1"/>
  </cellXfs>
  <cellStyles count="3">
    <cellStyle name="Calculation" xfId="2" builtinId="22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sqref="A1:XFD1"/>
    </sheetView>
  </sheetViews>
  <sheetFormatPr defaultRowHeight="15" x14ac:dyDescent="0.25"/>
  <cols>
    <col min="1" max="1" width="17.5703125" bestFit="1" customWidth="1"/>
    <col min="2" max="2" width="8.7109375" bestFit="1" customWidth="1"/>
    <col min="3" max="3" width="18.85546875" bestFit="1" customWidth="1"/>
    <col min="4" max="4" width="10.7109375" bestFit="1" customWidth="1"/>
    <col min="5" max="5" width="5.85546875" bestFit="1" customWidth="1"/>
    <col min="6" max="6" width="12.5703125" bestFit="1" customWidth="1"/>
    <col min="7" max="7" width="10" bestFit="1" customWidth="1"/>
    <col min="8" max="8" width="20.28515625" customWidth="1"/>
    <col min="10" max="11" width="13.42578125" customWidth="1"/>
  </cols>
  <sheetData>
    <row r="1" spans="1:11" s="1" customFormat="1" ht="27.75" customHeight="1" thickBot="1" x14ac:dyDescent="0.3">
      <c r="A1" s="1" t="s">
        <v>45</v>
      </c>
    </row>
    <row r="2" spans="1:11" ht="15.75" thickTop="1" x14ac:dyDescent="0.25"/>
    <row r="3" spans="1:1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2"/>
      <c r="J3" s="3" t="s">
        <v>8</v>
      </c>
      <c r="K3" s="3" t="s">
        <v>7</v>
      </c>
    </row>
    <row r="4" spans="1:11" x14ac:dyDescent="0.25">
      <c r="A4" s="4" t="s">
        <v>9</v>
      </c>
      <c r="B4" s="4" t="s">
        <v>10</v>
      </c>
      <c r="C4" s="4" t="s">
        <v>11</v>
      </c>
      <c r="D4" s="6">
        <v>37249</v>
      </c>
      <c r="E4" s="4">
        <v>20</v>
      </c>
      <c r="F4" s="7">
        <v>60981</v>
      </c>
      <c r="G4" s="8">
        <v>1</v>
      </c>
      <c r="H4" s="7" cm="1">
        <f t="array" ref="H4">_xlfn.IFS(G4=$J$4,$K$4,G4=$J$5,$K$5,G4=$J$6,$K$6,G4=$J$7,$K$7,J8&lt;=1,$K$8)</f>
        <v>0</v>
      </c>
      <c r="J4" s="4">
        <v>5</v>
      </c>
      <c r="K4" s="4">
        <v>3000</v>
      </c>
    </row>
    <row r="5" spans="1:11" x14ac:dyDescent="0.25">
      <c r="A5" s="4" t="s">
        <v>12</v>
      </c>
      <c r="B5" s="4" t="s">
        <v>10</v>
      </c>
      <c r="C5" s="4" t="s">
        <v>11</v>
      </c>
      <c r="D5" s="6">
        <v>41673</v>
      </c>
      <c r="E5" s="4">
        <v>7</v>
      </c>
      <c r="F5" s="7">
        <v>60915</v>
      </c>
      <c r="G5" s="8">
        <v>4</v>
      </c>
      <c r="H5" s="7" cm="1">
        <f t="array" ref="H5">_xlfn.IFS(G5=$J$4,$K$4,G5=$J$5,$K$5,G5=$J$6,$K$6,G5=$J$7,$K$7,J9&lt;=1,$K$8)</f>
        <v>1500</v>
      </c>
      <c r="J5" s="4">
        <v>4</v>
      </c>
      <c r="K5" s="4">
        <v>1500</v>
      </c>
    </row>
    <row r="6" spans="1:11" x14ac:dyDescent="0.25">
      <c r="A6" s="4" t="s">
        <v>13</v>
      </c>
      <c r="B6" s="4" t="s">
        <v>10</v>
      </c>
      <c r="C6" s="4" t="s">
        <v>11</v>
      </c>
      <c r="D6" s="6">
        <v>40225</v>
      </c>
      <c r="E6" s="4">
        <v>11</v>
      </c>
      <c r="F6" s="7">
        <v>97071</v>
      </c>
      <c r="G6" s="8">
        <v>5</v>
      </c>
      <c r="H6" s="7" cm="1">
        <f t="array" ref="H6">_xlfn.IFS(G6=$J$4,$K$4,G6=$J$5,$K$5,G6=$J$6,$K$6,G6=$J$7,$K$7,J10&lt;=1,$K$8)</f>
        <v>3000</v>
      </c>
      <c r="J6" s="4">
        <v>3</v>
      </c>
      <c r="K6" s="4">
        <v>900</v>
      </c>
    </row>
    <row r="7" spans="1:11" x14ac:dyDescent="0.25">
      <c r="A7" s="4" t="s">
        <v>14</v>
      </c>
      <c r="B7" s="4" t="s">
        <v>15</v>
      </c>
      <c r="C7" s="4" t="s">
        <v>11</v>
      </c>
      <c r="D7" s="6">
        <v>42229</v>
      </c>
      <c r="E7" s="4">
        <v>6</v>
      </c>
      <c r="F7" s="7">
        <v>115421</v>
      </c>
      <c r="G7" s="8">
        <v>3</v>
      </c>
      <c r="H7" s="7" cm="1">
        <f t="array" ref="H7">_xlfn.IFS(G7=$J$4,$K$4,G7=$J$5,$K$5,G7=$J$6,$K$6,G7=$J$7,$K$7,J11&lt;=1,$K$8)</f>
        <v>900</v>
      </c>
      <c r="J7" s="4">
        <v>2</v>
      </c>
      <c r="K7" s="4">
        <v>100</v>
      </c>
    </row>
    <row r="8" spans="1:11" x14ac:dyDescent="0.25">
      <c r="A8" s="4" t="s">
        <v>16</v>
      </c>
      <c r="B8" s="4" t="s">
        <v>17</v>
      </c>
      <c r="C8" s="4" t="s">
        <v>11</v>
      </c>
      <c r="D8" s="6">
        <v>40525</v>
      </c>
      <c r="E8" s="4">
        <v>11</v>
      </c>
      <c r="F8" s="7">
        <v>115547</v>
      </c>
      <c r="G8" s="8">
        <v>4</v>
      </c>
      <c r="H8" s="7" cm="1">
        <f t="array" ref="H8">_xlfn.IFS(G8=$J$4,$K$4,G8=$J$5,$K$5,G8=$J$6,$K$6,G8=$J$7,$K$7,J12&lt;=1,$K$8)</f>
        <v>1500</v>
      </c>
      <c r="J8" s="4">
        <v>1</v>
      </c>
      <c r="K8" s="4">
        <v>0</v>
      </c>
    </row>
    <row r="9" spans="1:11" x14ac:dyDescent="0.25">
      <c r="A9" s="4" t="s">
        <v>18</v>
      </c>
      <c r="B9" s="4" t="s">
        <v>19</v>
      </c>
      <c r="C9" s="4" t="s">
        <v>20</v>
      </c>
      <c r="D9" s="6">
        <v>39828</v>
      </c>
      <c r="E9" s="4">
        <v>12</v>
      </c>
      <c r="F9" s="7">
        <v>69212</v>
      </c>
      <c r="G9" s="8">
        <v>2</v>
      </c>
      <c r="H9" s="7" cm="1">
        <f t="array" ref="H9">_xlfn.IFS(G9=$J$4,$K$4,G9=$J$5,$K$5,G9=$J$6,$K$6,G9=$J$7,$K$7,J13&lt;=1,$K$8)</f>
        <v>100</v>
      </c>
    </row>
    <row r="10" spans="1:11" x14ac:dyDescent="0.25">
      <c r="A10" s="4" t="s">
        <v>21</v>
      </c>
      <c r="B10" s="4" t="s">
        <v>15</v>
      </c>
      <c r="C10" s="4" t="s">
        <v>20</v>
      </c>
      <c r="D10" s="6">
        <v>37295</v>
      </c>
      <c r="E10" s="4">
        <v>19</v>
      </c>
      <c r="F10" s="7">
        <v>34234</v>
      </c>
      <c r="G10" s="8">
        <v>1</v>
      </c>
      <c r="H10" s="7" cm="1">
        <f t="array" ref="H10">_xlfn.IFS(G10=$J$4,$K$4,G10=$J$5,$K$5,G10=$J$6,$K$6,G10=$J$7,$K$7,J14&lt;=1,$K$8)</f>
        <v>0</v>
      </c>
    </row>
    <row r="11" spans="1:11" x14ac:dyDescent="0.25">
      <c r="A11" s="4" t="s">
        <v>22</v>
      </c>
      <c r="B11" s="4" t="s">
        <v>23</v>
      </c>
      <c r="C11" s="4" t="s">
        <v>20</v>
      </c>
      <c r="D11" s="6">
        <v>40267</v>
      </c>
      <c r="E11" s="4">
        <v>11</v>
      </c>
      <c r="F11" s="7">
        <v>234234</v>
      </c>
      <c r="G11" s="8">
        <v>2</v>
      </c>
      <c r="H11" s="7" cm="1">
        <f t="array" ref="H11">_xlfn.IFS(G11=$J$4,$K$4,G11=$J$5,$K$5,G11=$J$6,$K$6,G11=$J$7,$K$7,J15&lt;=1,$K$8)</f>
        <v>100</v>
      </c>
    </row>
    <row r="12" spans="1:11" x14ac:dyDescent="0.25">
      <c r="A12" s="4" t="s">
        <v>24</v>
      </c>
      <c r="B12" s="4" t="s">
        <v>19</v>
      </c>
      <c r="C12" s="4" t="s">
        <v>20</v>
      </c>
      <c r="D12" s="6">
        <v>40260</v>
      </c>
      <c r="E12" s="4">
        <v>19</v>
      </c>
      <c r="F12" s="7">
        <v>12311</v>
      </c>
      <c r="G12" s="8">
        <v>4</v>
      </c>
      <c r="H12" s="7" cm="1">
        <f t="array" ref="H12">_xlfn.IFS(G12=$J$4,$K$4,G12=$J$5,$K$5,G12=$J$6,$K$6,G12=$J$7,$K$7,J16&lt;=1,$K$8)</f>
        <v>1500</v>
      </c>
    </row>
    <row r="13" spans="1:11" x14ac:dyDescent="0.25">
      <c r="A13" s="4" t="s">
        <v>25</v>
      </c>
      <c r="B13" s="4" t="s">
        <v>15</v>
      </c>
      <c r="C13" s="4" t="s">
        <v>20</v>
      </c>
      <c r="D13" s="6">
        <v>38847</v>
      </c>
      <c r="E13" s="4">
        <v>16</v>
      </c>
      <c r="F13" s="7">
        <v>32234</v>
      </c>
      <c r="G13" s="8">
        <v>3</v>
      </c>
      <c r="H13" s="7" cm="1">
        <f t="array" ref="H13">_xlfn.IFS(G13=$J$4,$K$4,G13=$J$5,$K$5,G13=$J$6,$K$6,G13=$J$7,$K$7,J17&lt;=1,$K$8)</f>
        <v>900</v>
      </c>
    </row>
    <row r="14" spans="1:11" x14ac:dyDescent="0.25">
      <c r="A14" s="4" t="s">
        <v>26</v>
      </c>
      <c r="B14" s="4" t="s">
        <v>23</v>
      </c>
      <c r="C14" s="4" t="s">
        <v>20</v>
      </c>
      <c r="D14" s="6">
        <v>37249</v>
      </c>
      <c r="E14" s="4">
        <v>15</v>
      </c>
      <c r="F14" s="7">
        <v>53432</v>
      </c>
      <c r="G14" s="8">
        <v>4</v>
      </c>
      <c r="H14" s="7" cm="1">
        <f t="array" ref="H14">_xlfn.IFS(G14=$J$4,$K$4,G14=$J$5,$K$5,G14=$J$6,$K$6,G14=$J$7,$K$7,J18&lt;=1,$K$8)</f>
        <v>1500</v>
      </c>
    </row>
    <row r="15" spans="1:11" x14ac:dyDescent="0.25">
      <c r="A15" s="4" t="s">
        <v>27</v>
      </c>
      <c r="B15" s="4" t="s">
        <v>23</v>
      </c>
      <c r="C15" s="4" t="s">
        <v>20</v>
      </c>
      <c r="D15" s="6">
        <v>41673</v>
      </c>
      <c r="E15" s="4">
        <v>14</v>
      </c>
      <c r="F15" s="7">
        <v>23421</v>
      </c>
      <c r="G15" s="8">
        <v>3</v>
      </c>
      <c r="H15" s="7" cm="1">
        <f t="array" ref="H15">_xlfn.IFS(G15=$J$4,$K$4,G15=$J$5,$K$5,G15=$J$6,$K$6,G15=$J$7,$K$7,J19&lt;=1,$K$8)</f>
        <v>900</v>
      </c>
    </row>
    <row r="16" spans="1:11" x14ac:dyDescent="0.25">
      <c r="A16" s="4" t="s">
        <v>28</v>
      </c>
      <c r="B16" s="4" t="s">
        <v>23</v>
      </c>
      <c r="C16" s="4" t="s">
        <v>20</v>
      </c>
      <c r="D16" s="6">
        <v>40225</v>
      </c>
      <c r="E16" s="4">
        <v>7</v>
      </c>
      <c r="F16" s="7">
        <v>50095</v>
      </c>
      <c r="G16" s="8">
        <v>5</v>
      </c>
      <c r="H16" s="7" cm="1">
        <f t="array" ref="H16">_xlfn.IFS(G16=$J$4,$K$4,G16=$J$5,$K$5,G16=$J$6,$K$6,G16=$J$7,$K$7,J20&lt;=1,$K$8)</f>
        <v>3000</v>
      </c>
    </row>
    <row r="17" spans="1:8" x14ac:dyDescent="0.25">
      <c r="A17" s="4" t="s">
        <v>29</v>
      </c>
      <c r="B17" s="4" t="s">
        <v>19</v>
      </c>
      <c r="C17" s="4" t="s">
        <v>20</v>
      </c>
      <c r="D17" s="6">
        <v>42229</v>
      </c>
      <c r="E17" s="4">
        <v>6</v>
      </c>
      <c r="F17" s="7">
        <v>46148</v>
      </c>
      <c r="G17" s="8">
        <v>3</v>
      </c>
      <c r="H17" s="7" cm="1">
        <f t="array" ref="H17">_xlfn.IFS(G17=$J$4,$K$4,G17=$J$5,$K$5,G17=$J$6,$K$6,G17=$J$7,$K$7,J21&lt;=1,$K$8)</f>
        <v>900</v>
      </c>
    </row>
    <row r="18" spans="1:8" x14ac:dyDescent="0.25">
      <c r="A18" s="4" t="s">
        <v>30</v>
      </c>
      <c r="B18" s="4" t="s">
        <v>17</v>
      </c>
      <c r="C18" s="4" t="s">
        <v>20</v>
      </c>
      <c r="D18" s="6">
        <v>40525</v>
      </c>
      <c r="E18" s="4">
        <v>18</v>
      </c>
      <c r="F18" s="7">
        <v>42201</v>
      </c>
      <c r="G18" s="8">
        <v>2</v>
      </c>
      <c r="H18" s="7" cm="1">
        <f t="array" ref="H18">_xlfn.IFS(G18=$J$4,$K$4,G18=$J$5,$K$5,G18=$J$6,$K$6,G18=$J$7,$K$7,J22&lt;=1,$K$8)</f>
        <v>100</v>
      </c>
    </row>
    <row r="19" spans="1:8" x14ac:dyDescent="0.25">
      <c r="A19" s="4" t="s">
        <v>31</v>
      </c>
      <c r="B19" s="4" t="s">
        <v>32</v>
      </c>
      <c r="C19" s="4" t="s">
        <v>20</v>
      </c>
      <c r="D19" s="6">
        <v>39828</v>
      </c>
      <c r="E19" s="4">
        <v>7</v>
      </c>
      <c r="F19" s="7">
        <v>38254</v>
      </c>
      <c r="G19" s="8">
        <v>3</v>
      </c>
      <c r="H19" s="7" cm="1">
        <f t="array" ref="H19">_xlfn.IFS(G19=$J$4,$K$4,G19=$J$5,$K$5,G19=$J$6,$K$6,G19=$J$7,$K$7,J23&lt;=1,$K$8)</f>
        <v>900</v>
      </c>
    </row>
    <row r="20" spans="1:8" x14ac:dyDescent="0.25">
      <c r="A20" s="4" t="s">
        <v>33</v>
      </c>
      <c r="B20" s="4" t="s">
        <v>10</v>
      </c>
      <c r="C20" s="4" t="s">
        <v>20</v>
      </c>
      <c r="D20" s="6">
        <v>37295</v>
      </c>
      <c r="E20" s="4">
        <v>18</v>
      </c>
      <c r="F20" s="7">
        <v>34307</v>
      </c>
      <c r="G20" s="8">
        <v>4</v>
      </c>
      <c r="H20" s="7" cm="1">
        <f t="array" ref="H20">_xlfn.IFS(G20=$J$4,$K$4,G20=$J$5,$K$5,G20=$J$6,$K$6,G20=$J$7,$K$7,J24&lt;=1,$K$8)</f>
        <v>1500</v>
      </c>
    </row>
    <row r="21" spans="1:8" x14ac:dyDescent="0.25">
      <c r="A21" s="4" t="s">
        <v>34</v>
      </c>
      <c r="B21" s="4" t="s">
        <v>10</v>
      </c>
      <c r="C21" s="4" t="s">
        <v>20</v>
      </c>
      <c r="D21" s="6">
        <v>40267</v>
      </c>
      <c r="E21" s="4">
        <v>10</v>
      </c>
      <c r="F21" s="7">
        <v>30360</v>
      </c>
      <c r="G21" s="8">
        <v>2</v>
      </c>
      <c r="H21" s="7" cm="1">
        <f t="array" ref="H21">_xlfn.IFS(G21=$J$4,$K$4,G21=$J$5,$K$5,G21=$J$6,$K$6,G21=$J$7,$K$7,J25&lt;=1,$K$8)</f>
        <v>100</v>
      </c>
    </row>
    <row r="22" spans="1:8" x14ac:dyDescent="0.25">
      <c r="A22" s="4" t="s">
        <v>35</v>
      </c>
      <c r="B22" s="4" t="s">
        <v>32</v>
      </c>
      <c r="C22" s="4" t="s">
        <v>20</v>
      </c>
      <c r="D22" s="6">
        <v>40260</v>
      </c>
      <c r="E22" s="4">
        <v>12</v>
      </c>
      <c r="F22" s="7">
        <v>26413</v>
      </c>
      <c r="G22" s="8">
        <v>2</v>
      </c>
      <c r="H22" s="7" cm="1">
        <f t="array" ref="H22">_xlfn.IFS(G22=$J$4,$K$4,G22=$J$5,$K$5,G22=$J$6,$K$6,G22=$J$7,$K$7,J26&lt;=1,$K$8)</f>
        <v>100</v>
      </c>
    </row>
    <row r="23" spans="1:8" x14ac:dyDescent="0.25">
      <c r="A23" s="4" t="s">
        <v>36</v>
      </c>
      <c r="B23" s="4" t="s">
        <v>10</v>
      </c>
      <c r="C23" s="4" t="s">
        <v>20</v>
      </c>
      <c r="D23" s="6">
        <v>38847</v>
      </c>
      <c r="E23" s="4">
        <v>9</v>
      </c>
      <c r="F23" s="7">
        <v>22467</v>
      </c>
      <c r="G23" s="8">
        <v>1</v>
      </c>
      <c r="H23" s="7" cm="1">
        <f t="array" ref="H23">_xlfn.IFS(G23=$J$4,$K$4,G23=$J$5,$K$5,G23=$J$6,$K$6,G23=$J$7,$K$7,J27&lt;=1,$K$8)</f>
        <v>0</v>
      </c>
    </row>
    <row r="24" spans="1:8" x14ac:dyDescent="0.25">
      <c r="A24" s="4" t="s">
        <v>37</v>
      </c>
      <c r="B24" s="4" t="s">
        <v>15</v>
      </c>
      <c r="C24" s="4" t="s">
        <v>20</v>
      </c>
      <c r="D24" s="6">
        <v>37249</v>
      </c>
      <c r="E24" s="4">
        <v>20</v>
      </c>
      <c r="F24" s="7">
        <v>18520</v>
      </c>
      <c r="G24" s="8">
        <v>4</v>
      </c>
      <c r="H24" s="7" cm="1">
        <f t="array" ref="H24">_xlfn.IFS(G24=$J$4,$K$4,G24=$J$5,$K$5,G24=$J$6,$K$6,G24=$J$7,$K$7,J28&lt;=1,$K$8)</f>
        <v>1500</v>
      </c>
    </row>
    <row r="25" spans="1:8" x14ac:dyDescent="0.25">
      <c r="A25" s="4" t="s">
        <v>38</v>
      </c>
      <c r="B25" s="4" t="s">
        <v>17</v>
      </c>
      <c r="C25" s="4" t="s">
        <v>20</v>
      </c>
      <c r="D25" s="6">
        <v>41673</v>
      </c>
      <c r="E25" s="4">
        <v>12</v>
      </c>
      <c r="F25" s="7">
        <v>14573</v>
      </c>
      <c r="G25" s="8">
        <v>3</v>
      </c>
      <c r="H25" s="7" cm="1">
        <f t="array" ref="H25">_xlfn.IFS(G25=$J$4,$K$4,G25=$J$5,$K$5,G25=$J$6,$K$6,G25=$J$7,$K$7,J29&lt;=1,$K$8)</f>
        <v>900</v>
      </c>
    </row>
    <row r="26" spans="1:8" x14ac:dyDescent="0.25">
      <c r="A26" s="4" t="s">
        <v>39</v>
      </c>
      <c r="B26" s="4" t="s">
        <v>23</v>
      </c>
      <c r="C26" s="4" t="s">
        <v>40</v>
      </c>
      <c r="D26" s="6">
        <v>40225</v>
      </c>
      <c r="E26" s="4">
        <v>12</v>
      </c>
      <c r="F26" s="7">
        <v>10626</v>
      </c>
      <c r="G26" s="8">
        <v>2</v>
      </c>
      <c r="H26" s="7" cm="1">
        <f t="array" ref="H26">_xlfn.IFS(G26=$J$4,$K$4,G26=$J$5,$K$5,G26=$J$6,$K$6,G26=$J$7,$K$7,J30&lt;=1,$K$8)</f>
        <v>100</v>
      </c>
    </row>
    <row r="27" spans="1:8" x14ac:dyDescent="0.25">
      <c r="A27" s="4" t="s">
        <v>41</v>
      </c>
      <c r="B27" s="4" t="s">
        <v>10</v>
      </c>
      <c r="C27" s="4" t="s">
        <v>40</v>
      </c>
      <c r="D27" s="6">
        <v>42229</v>
      </c>
      <c r="E27" s="4">
        <v>18</v>
      </c>
      <c r="F27" s="7">
        <v>6679</v>
      </c>
      <c r="G27" s="8">
        <v>1</v>
      </c>
      <c r="H27" s="7" cm="1">
        <f t="array" ref="H27">_xlfn.IFS(G27=$J$4,$K$4,G27=$J$5,$K$5,G27=$J$6,$K$6,G27=$J$7,$K$7,J31&lt;=1,$K$8)</f>
        <v>0</v>
      </c>
    </row>
    <row r="28" spans="1:8" x14ac:dyDescent="0.25">
      <c r="A28" s="4" t="s">
        <v>42</v>
      </c>
      <c r="B28" s="4" t="s">
        <v>19</v>
      </c>
      <c r="C28" s="4" t="s">
        <v>40</v>
      </c>
      <c r="D28" s="6">
        <v>40525</v>
      </c>
      <c r="E28" s="4">
        <v>19</v>
      </c>
      <c r="F28" s="7">
        <v>27324</v>
      </c>
      <c r="G28" s="8">
        <v>3</v>
      </c>
      <c r="H28" s="7" cm="1">
        <f t="array" ref="H28">_xlfn.IFS(G28=$J$4,$K$4,G28=$J$5,$K$5,G28=$J$6,$K$6,G28=$J$7,$K$7,J32&lt;=1,$K$8)</f>
        <v>900</v>
      </c>
    </row>
    <row r="29" spans="1:8" x14ac:dyDescent="0.25">
      <c r="A29" s="4" t="s">
        <v>43</v>
      </c>
      <c r="B29" s="4" t="s">
        <v>15</v>
      </c>
      <c r="C29" s="4" t="s">
        <v>40</v>
      </c>
      <c r="D29" s="6">
        <v>39828</v>
      </c>
      <c r="E29" s="4">
        <v>20</v>
      </c>
      <c r="F29" s="7">
        <v>121423</v>
      </c>
      <c r="G29" s="8">
        <v>5</v>
      </c>
      <c r="H29" s="7" cm="1">
        <f t="array" ref="H29">_xlfn.IFS(G29=$J$4,$K$4,G29=$J$5,$K$5,G29=$J$6,$K$6,G29=$J$7,$K$7,J33&lt;=1,$K$8)</f>
        <v>3000</v>
      </c>
    </row>
    <row r="30" spans="1:8" x14ac:dyDescent="0.25">
      <c r="A30" s="4" t="s">
        <v>44</v>
      </c>
      <c r="B30" s="4" t="s">
        <v>17</v>
      </c>
      <c r="C30" s="4" t="s">
        <v>40</v>
      </c>
      <c r="D30" s="6">
        <v>37295</v>
      </c>
      <c r="E30" s="4">
        <v>20</v>
      </c>
      <c r="F30" s="7">
        <v>32342</v>
      </c>
      <c r="G30" s="8">
        <v>3</v>
      </c>
      <c r="H30" s="7" cm="1">
        <f t="array" ref="H30">_xlfn.IFS(G30=$J$4,$K$4,G30=$J$5,$K$5,G30=$J$6,$K$6,G30=$J$7,$K$7,J34&lt;=1,$K$8)</f>
        <v>900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D261-E77C-4113-861A-A2D45EE41487}">
  <dimension ref="A1:F14"/>
  <sheetViews>
    <sheetView tabSelected="1" workbookViewId="0">
      <selection activeCell="I22" sqref="I22"/>
    </sheetView>
  </sheetViews>
  <sheetFormatPr defaultRowHeight="15" x14ac:dyDescent="0.25"/>
  <cols>
    <col min="1" max="1" width="16.7109375" customWidth="1"/>
    <col min="2" max="2" width="4.140625" customWidth="1"/>
    <col min="3" max="3" width="21.5703125" customWidth="1"/>
    <col min="6" max="6" width="15" customWidth="1"/>
  </cols>
  <sheetData>
    <row r="1" spans="1:6" s="1" customFormat="1" ht="27.75" customHeight="1" thickBot="1" x14ac:dyDescent="0.3">
      <c r="A1" s="1" t="s">
        <v>46</v>
      </c>
    </row>
    <row r="2" spans="1:6" ht="15.75" thickTop="1" x14ac:dyDescent="0.25"/>
    <row r="3" spans="1:6" x14ac:dyDescent="0.25">
      <c r="A3" s="10" t="s">
        <v>47</v>
      </c>
      <c r="B3" s="11"/>
      <c r="C3" s="10" t="s">
        <v>55</v>
      </c>
    </row>
    <row r="4" spans="1:6" x14ac:dyDescent="0.25">
      <c r="A4" s="4" t="s">
        <v>48</v>
      </c>
      <c r="B4" s="4"/>
      <c r="C4" s="11">
        <v>1</v>
      </c>
    </row>
    <row r="5" spans="1:6" x14ac:dyDescent="0.25">
      <c r="A5" s="4" t="s">
        <v>49</v>
      </c>
      <c r="B5" s="4"/>
      <c r="C5" s="11">
        <v>2</v>
      </c>
    </row>
    <row r="6" spans="1:6" x14ac:dyDescent="0.25">
      <c r="A6" s="4" t="s">
        <v>50</v>
      </c>
      <c r="B6" s="4"/>
      <c r="C6" s="11">
        <v>3</v>
      </c>
    </row>
    <row r="7" spans="1:6" x14ac:dyDescent="0.25">
      <c r="A7" s="4" t="s">
        <v>51</v>
      </c>
      <c r="B7" s="4"/>
      <c r="C7" s="11">
        <v>4</v>
      </c>
    </row>
    <row r="8" spans="1:6" x14ac:dyDescent="0.25">
      <c r="A8" s="4" t="s">
        <v>52</v>
      </c>
      <c r="B8" s="4"/>
      <c r="C8" s="11">
        <v>5</v>
      </c>
    </row>
    <row r="9" spans="1:6" x14ac:dyDescent="0.25">
      <c r="A9" s="4" t="s">
        <v>53</v>
      </c>
      <c r="B9" s="4"/>
      <c r="C9" s="11">
        <v>6</v>
      </c>
    </row>
    <row r="10" spans="1:6" x14ac:dyDescent="0.25">
      <c r="A10" s="4" t="s">
        <v>54</v>
      </c>
      <c r="B10" s="4"/>
      <c r="C10" s="11">
        <v>7</v>
      </c>
    </row>
    <row r="12" spans="1:6" x14ac:dyDescent="0.25">
      <c r="A12" s="9" t="s">
        <v>55</v>
      </c>
      <c r="B12" s="9"/>
      <c r="C12" s="9" t="s">
        <v>56</v>
      </c>
    </row>
    <row r="13" spans="1:6" x14ac:dyDescent="0.25">
      <c r="A13" s="12">
        <v>4</v>
      </c>
      <c r="C13" s="13" t="str" cm="1">
        <f t="array" ref="C13">_xlfn.IFS(A13=$C$4,$A$4,A13=$C$5,$A$5,A13=$C$6,$A$6,A13=$C$7,$A$7,A13=$C$8,$A$8,A13=$C$9,$A$9,A13=$C$10,$A$10)</f>
        <v>Wednesday</v>
      </c>
      <c r="E13" s="14"/>
      <c r="F13" s="15" t="s">
        <v>57</v>
      </c>
    </row>
    <row r="14" spans="1:6" x14ac:dyDescent="0.25">
      <c r="E14" s="17"/>
      <c r="F14" s="16" t="s">
        <v>58</v>
      </c>
    </row>
  </sheetData>
  <mergeCells count="1">
    <mergeCell ref="A1:XFD1"/>
  </mergeCells>
  <phoneticPr fontId="5" type="noConversion"/>
  <dataValidations count="1">
    <dataValidation type="list" allowBlank="1" showInputMessage="1" showErrorMessage="1" sqref="A13" xr:uid="{CC055B3F-8CAC-4266-8B0B-43E01A19B545}">
      <formula1>$C$4:$C$10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2026-08-25T12:49:20Z</dcterms:modified>
</cp:coreProperties>
</file>