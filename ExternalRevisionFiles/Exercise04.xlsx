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"/>
    </mc:Choice>
  </mc:AlternateContent>
  <xr:revisionPtr revIDLastSave="0" documentId="13_ncr:1_{522AC2ED-BBB4-4669-A659-1DC776584CC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Questions" sheetId="1" r:id="rId1"/>
    <sheet name="Exercise" sheetId="2" r:id="rId2"/>
  </sheets>
  <definedNames>
    <definedName name="Customer_Name">Exercise!$A$3:$A$31</definedName>
    <definedName name="Price_Per_Item">Exercise!$C$3:$C$31</definedName>
    <definedName name="Quantity">Exercise!$B$3:$B$31</definedName>
    <definedName name="Sales_Tax">Exercise!$E$3:$E$31</definedName>
    <definedName name="Tax">Exercise!$J$2</definedName>
    <definedName name="Total">Exercise!$D$3:$D$31</definedName>
    <definedName name="Total__inc_Tax">Exercise!$F$3:$F$31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J7" i="2"/>
  <c r="J6" i="2"/>
  <c r="J5" i="2"/>
  <c r="J4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E26" i="2"/>
  <c r="E27" i="2"/>
  <c r="E28" i="2"/>
  <c r="E30" i="2"/>
  <c r="E31" i="2"/>
  <c r="E3" i="2"/>
  <c r="F3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5" i="2"/>
  <c r="F26" i="2"/>
  <c r="F27" i="2"/>
  <c r="F28" i="2"/>
  <c r="F30" i="2"/>
  <c r="F31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E29" i="2" s="1"/>
  <c r="F29" i="2" s="1"/>
  <c r="D30" i="2"/>
  <c r="D31" i="2"/>
  <c r="D3" i="2"/>
</calcChain>
</file>

<file path=xl/sharedStrings.xml><?xml version="1.0" encoding="utf-8"?>
<sst xmlns="http://schemas.openxmlformats.org/spreadsheetml/2006/main" count="55" uniqueCount="55">
  <si>
    <t>EXERCISE 04</t>
  </si>
  <si>
    <t>NAMING RANGES</t>
  </si>
  <si>
    <t xml:space="preserve">  1. Name the following data ranges: </t>
  </si>
  <si>
    <t>A2:A52, "Customer_Name"</t>
  </si>
  <si>
    <t>B2:B52, "Quantity"</t>
  </si>
  <si>
    <t>D2:D52,  "Total"</t>
  </si>
  <si>
    <t>C2:C52, "Price_Per_Item"</t>
  </si>
  <si>
    <t>E2:E52, "Sales_Tax"</t>
  </si>
  <si>
    <t>F2:F52, "Total_Inc_Tax"</t>
  </si>
  <si>
    <t xml:space="preserve">  2. Name H2:I2,  "Tax_Rate"</t>
  </si>
  <si>
    <r>
      <t xml:space="preserve">  </t>
    </r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Try and use all of the different methods for creating named ranges.</t>
    </r>
  </si>
  <si>
    <t>USING NAMED RANGES IN FORMULAS</t>
  </si>
  <si>
    <r>
      <t xml:space="preserve">  1. Replace the reference to cell I2 in the </t>
    </r>
    <r>
      <rPr>
        <b/>
        <sz val="11"/>
        <color theme="1"/>
        <rFont val="Calibri"/>
        <family val="2"/>
        <scheme val="minor"/>
      </rPr>
      <t>'Sales Tax'</t>
    </r>
    <r>
      <rPr>
        <sz val="11"/>
        <color theme="1"/>
        <rFont val="Calibri"/>
        <family val="2"/>
        <scheme val="minor"/>
      </rPr>
      <t xml:space="preserve"> formula in column E with the named range.</t>
    </r>
  </si>
  <si>
    <t xml:space="preserve">  2. Re-calculate the formulas in cell range I4:I8, using the named ranges instead of cell references. </t>
  </si>
  <si>
    <t>Customer Name</t>
  </si>
  <si>
    <t>Quantity</t>
  </si>
  <si>
    <t>Price Per Item ($)</t>
  </si>
  <si>
    <t>Total ($)</t>
  </si>
  <si>
    <t>Sales Tax ($)</t>
  </si>
  <si>
    <t>Total (inc Tax)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</si>
  <si>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</si>
  <si>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</si>
  <si>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</si>
  <si>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</si>
  <si>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</si>
  <si>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</si>
  <si>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</si>
  <si>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</si>
  <si>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</si>
  <si>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Mrtin Waters</t>
  </si>
  <si>
    <t>Julie Tavistock</t>
  </si>
  <si>
    <t>Kurt Webster</t>
  </si>
  <si>
    <t>Lucy Matthews</t>
  </si>
  <si>
    <t>Patric Barker</t>
  </si>
  <si>
    <t>Terry Abbott</t>
  </si>
  <si>
    <t>Jorge Waters</t>
  </si>
  <si>
    <t>Ada Wang</t>
  </si>
  <si>
    <t>Ashley Grahm</t>
  </si>
  <si>
    <t>Pedro Costa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</si>
  <si>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</si>
  <si>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</si>
  <si>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</si>
  <si>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</si>
  <si>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</si>
  <si>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</si>
  <si>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</si>
  <si>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</si>
  <si>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</si>
  <si>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Fredrick Yates</t>
  </si>
  <si>
    <t>Sales Tax</t>
  </si>
  <si>
    <t xml:space="preserve">Total Sales </t>
  </si>
  <si>
    <t>Average Quantity</t>
  </si>
  <si>
    <t>Maximum Price Per Item</t>
  </si>
  <si>
    <t>Minimum Price Per Item</t>
  </si>
  <si>
    <t>No.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</si>
</sst>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0" fillId="3" borderId="0" xfId="0" applyFill="1"/>
    <xf numFmtId="0" fontId="0" fillId="3" borderId="0" xfId="0" applyFill="1"/>
    <xf numFmtId="0" fontId="2" fillId="0" borderId="1" xfId="0" applyFont="1" applyBorder="1"/>
    <xf numFmtId="0" fontId="0" fillId="0" borderId="1" xfId="0" applyBorder="1"/>
    <xf numFmtId="44" fontId="0" fillId="0" borderId="0" xfId="1" applyFont="1"/>
    <xf numFmtId="10" fontId="0" fillId="4" borderId="1" xfId="0" applyNumberFormat="1" applyFont="1" applyFill="1" applyBorder="1"/>
    <xf numFmtId="0" fontId="0" fillId="0" borderId="2" xfId="0" applyFont="1" applyBorder="1"/>
    <xf numFmtId="0" fontId="0" fillId="4" borderId="2" xfId="0" applyFont="1" applyFill="1" applyBorder="1"/>
    <xf numFmtId="0" fontId="0" fillId="0" borderId="3" xfId="0" applyFont="1" applyBorder="1"/>
    <xf numFmtId="0" fontId="0" fillId="4" borderId="3" xfId="0" applyFont="1" applyFill="1" applyBorder="1"/>
    <xf numFmtId="44" fontId="0" fillId="0" borderId="0" xfId="0" applyNumberFormat="1"/>
    <xf numFmtId="44" fontId="0" fillId="4" borderId="2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H28" sqref="H28"/>
    </sheetView>
  </sheetViews>
  <sheetFormatPr defaultRowHeight="15" x14ac:dyDescent="0.25"/>
  <sheetData>
    <row r="1" spans="1:4" s="3" customFormat="1" ht="23.25" customHeight="1" x14ac:dyDescent="0.25">
      <c r="A1" s="3" t="s">
        <v>0</v>
      </c>
    </row>
    <row r="2" spans="1:4" s="2" customFormat="1" x14ac:dyDescent="0.25">
      <c r="A2" s="1" t="s">
        <v>1</v>
      </c>
    </row>
    <row r="3" spans="1:4" s="2" customFormat="1" x14ac:dyDescent="0.25"/>
    <row r="4" spans="1:4" s="2" customFormat="1" x14ac:dyDescent="0.25"/>
    <row r="5" spans="1:4" s="4" customFormat="1" x14ac:dyDescent="0.25"/>
    <row r="6" spans="1:4" s="4" customFormat="1" x14ac:dyDescent="0.25">
      <c r="A6" s="5" t="s">
        <v>2</v>
      </c>
      <c r="B6" s="5"/>
      <c r="C6" s="5"/>
      <c r="D6" s="5"/>
    </row>
    <row r="7" spans="1:4" s="4" customFormat="1" x14ac:dyDescent="0.25"/>
    <row r="8" spans="1:4" s="4" customFormat="1" x14ac:dyDescent="0.25">
      <c r="B8" s="5" t="s">
        <v>3</v>
      </c>
      <c r="C8" s="5"/>
      <c r="D8" s="5"/>
    </row>
    <row r="9" spans="1:4" s="4" customFormat="1" x14ac:dyDescent="0.25">
      <c r="B9" s="5" t="s">
        <v>4</v>
      </c>
      <c r="C9" s="5"/>
    </row>
    <row r="10" spans="1:4" s="4" customFormat="1" x14ac:dyDescent="0.25">
      <c r="B10" s="5" t="s">
        <v>6</v>
      </c>
      <c r="C10" s="5"/>
    </row>
    <row r="11" spans="1:4" s="4" customFormat="1" x14ac:dyDescent="0.25">
      <c r="B11" s="5" t="s">
        <v>5</v>
      </c>
      <c r="C11" s="5"/>
    </row>
    <row r="12" spans="1:4" s="4" customFormat="1" x14ac:dyDescent="0.25">
      <c r="B12" s="5" t="s">
        <v>7</v>
      </c>
      <c r="C12" s="5"/>
    </row>
    <row r="13" spans="1:4" s="4" customFormat="1" x14ac:dyDescent="0.25">
      <c r="B13" s="4" t="s">
        <v>8</v>
      </c>
    </row>
    <row r="14" spans="1:4" s="4" customFormat="1" x14ac:dyDescent="0.25"/>
    <row r="15" spans="1:4" s="4" customFormat="1" x14ac:dyDescent="0.25">
      <c r="A15" s="4" t="s">
        <v>9</v>
      </c>
    </row>
    <row r="16" spans="1:4" s="4" customFormat="1" x14ac:dyDescent="0.25"/>
    <row r="17" spans="1:1" s="4" customFormat="1" x14ac:dyDescent="0.25">
      <c r="A17" s="4" t="s">
        <v>10</v>
      </c>
    </row>
    <row r="18" spans="1:1" s="4" customFormat="1" x14ac:dyDescent="0.25"/>
    <row r="19" spans="1:1" s="1" customFormat="1" x14ac:dyDescent="0.25">
      <c r="A19" s="1" t="s">
        <v>11</v>
      </c>
    </row>
    <row r="20" spans="1:1" s="1" customFormat="1" x14ac:dyDescent="0.25"/>
    <row r="21" spans="1:1" s="1" customFormat="1" x14ac:dyDescent="0.25"/>
    <row r="22" spans="1:1" s="1" customFormat="1" x14ac:dyDescent="0.25"/>
    <row r="23" spans="1:1" s="4" customFormat="1" x14ac:dyDescent="0.25"/>
    <row r="24" spans="1:1" s="4" customFormat="1" x14ac:dyDescent="0.25">
      <c r="A24" s="4" t="s">
        <v>12</v>
      </c>
    </row>
    <row r="25" spans="1:1" s="4" customFormat="1" x14ac:dyDescent="0.25"/>
    <row r="26" spans="1:1" s="4" customFormat="1" x14ac:dyDescent="0.25">
      <c r="A26" s="4" t="s">
        <v>13</v>
      </c>
    </row>
    <row r="27" spans="1:1" s="4" customFormat="1" x14ac:dyDescent="0.25"/>
    <row r="28" spans="1:1" s="4" customFormat="1" x14ac:dyDescent="0.25"/>
  </sheetData>
  <mergeCells count="9">
    <mergeCell ref="B10:C10"/>
    <mergeCell ref="B11:C11"/>
    <mergeCell ref="B12:C12"/>
    <mergeCell ref="A19:XFD22"/>
    <mergeCell ref="A1:XFD1"/>
    <mergeCell ref="A2:XFD4"/>
    <mergeCell ref="A6:D6"/>
    <mergeCell ref="B8:D8"/>
    <mergeCell ref="B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BE4C-44D0-430B-95AC-0C00BAA14DD1}">
  <dimension ref="A1:J31"/>
  <sheetViews>
    <sheetView tabSelected="1" topLeftCell="A3" zoomScaleNormal="100" workbookViewId="0">
      <selection activeCell="K14" sqref="K14"/>
    </sheetView>
  </sheetViews>
  <sheetFormatPr defaultRowHeight="15" x14ac:dyDescent="0.25"/>
  <cols>
    <col min="1" max="1" width="21.5703125" customWidth="1"/>
    <col min="2" max="2" width="12" customWidth="1"/>
    <col min="3" max="3" width="16.42578125" bestFit="1" customWidth="1"/>
    <col min="4" max="6" width="15.140625" customWidth="1"/>
    <col min="9" max="9" width="25.140625" customWidth="1"/>
    <col min="10" max="10" width="14.7109375" customWidth="1"/>
  </cols>
  <sheetData>
    <row r="1" spans="1:10" ht="15.75" thickBot="1" x14ac:dyDescent="0.3">
      <c r="A1" s="7"/>
      <c r="B1" s="7"/>
      <c r="C1" s="7"/>
      <c r="D1" s="7"/>
      <c r="E1" s="7"/>
      <c r="F1" s="7"/>
      <c r="I1" s="7"/>
      <c r="J1" s="7"/>
    </row>
    <row r="2" spans="1:10" ht="15.75" thickBot="1" x14ac:dyDescent="0.3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I2" s="6" t="s">
        <v>49</v>
      </c>
      <c r="J2" s="9">
        <v>0.06</v>
      </c>
    </row>
    <row r="3" spans="1:10" ht="15.75" thickBot="1" x14ac:dyDescent="0.3">
      <c r="A3" t="s">
        <v>20</v>
      </c>
      <c r="B3">
        <v>6</v>
      </c>
      <c r="C3" s="8">
        <v>14</v>
      </c>
      <c r="D3" s="14">
        <f>B3*C3</f>
        <v>84</v>
      </c>
      <c r="E3" s="14">
        <f>D3*Tax</f>
        <v>5.04</v>
      </c>
      <c r="F3" s="14">
        <f>SUM(D3:E3)</f>
        <v>89.04</v>
      </c>
      <c r="I3" s="7"/>
      <c r="J3" s="7"/>
    </row>
    <row r="4" spans="1:10" x14ac:dyDescent="0.25">
      <c r="A4" t="s">
        <v>21</v>
      </c>
      <c r="B4">
        <v>5</v>
      </c>
      <c r="C4" s="8">
        <v>19</v>
      </c>
      <c r="D4" s="14">
        <f t="shared" ref="D4:D31" si="0">B4*C4</f>
        <v>95</v>
      </c>
      <c r="E4" s="14">
        <f>D4*Tax</f>
        <v>5.7</v>
      </c>
      <c r="F4" s="14">
        <f t="shared" ref="F4:F31" si="1">SUM(D4:E4)</f>
        <v>100.7</v>
      </c>
      <c r="I4" s="10" t="s">
        <v>50</v>
      </c>
      <c r="J4" s="15">
        <f>SUM(Total)</f>
        <v>4774</v>
      </c>
    </row>
    <row r="5" spans="1:10" x14ac:dyDescent="0.25">
      <c r="A5" t="s">
        <v>22</v>
      </c>
      <c r="B5">
        <v>4</v>
      </c>
      <c r="C5" s="8">
        <v>16</v>
      </c>
      <c r="D5" s="14">
        <f t="shared" si="0"/>
        <v>64</v>
      </c>
      <c r="E5" s="14">
        <f>D5*Tax</f>
        <v>3.84</v>
      </c>
      <c r="F5" s="14">
        <f t="shared" si="1"/>
        <v>67.84</v>
      </c>
      <c r="I5" s="10" t="s">
        <v>51</v>
      </c>
      <c r="J5" s="11">
        <f>AVERAGE(Quantity)</f>
        <v>6</v>
      </c>
    </row>
    <row r="6" spans="1:10" x14ac:dyDescent="0.25">
      <c r="A6" t="s">
        <v>23</v>
      </c>
      <c r="B6">
        <v>5</v>
      </c>
      <c r="C6" s="8">
        <v>46</v>
      </c>
      <c r="D6" s="14">
        <f t="shared" si="0"/>
        <v>230</v>
      </c>
      <c r="E6" s="14">
        <f>D6*Tax</f>
        <v>13.799999999999999</v>
      </c>
      <c r="F6" s="14">
        <f t="shared" si="1"/>
        <v>243.8</v>
      </c>
      <c r="I6" s="10" t="s">
        <v>53</v>
      </c>
      <c r="J6" s="15">
        <f>MIN(Price_Per_Item)</f>
        <v>10</v>
      </c>
    </row>
    <row r="7" spans="1:10" x14ac:dyDescent="0.25">
      <c r="A7" t="s">
        <v>24</v>
      </c>
      <c r="B7">
        <v>5</v>
      </c>
      <c r="C7" s="8">
        <v>35</v>
      </c>
      <c r="D7" s="14">
        <f t="shared" si="0"/>
        <v>175</v>
      </c>
      <c r="E7" s="14">
        <f>D7*Tax</f>
        <v>10.5</v>
      </c>
      <c r="F7" s="14">
        <f t="shared" si="1"/>
        <v>185.5</v>
      </c>
      <c r="I7" s="10" t="s">
        <v>52</v>
      </c>
      <c r="J7" s="15">
        <f>MAX(Price_Per_Item)</f>
        <v>50</v>
      </c>
    </row>
    <row r="8" spans="1:10" ht="15.75" thickBot="1" x14ac:dyDescent="0.3">
      <c r="A8" t="s">
        <v>25</v>
      </c>
      <c r="B8">
        <v>3</v>
      </c>
      <c r="C8" s="8">
        <v>19</v>
      </c>
      <c r="D8" s="14">
        <f t="shared" si="0"/>
        <v>57</v>
      </c>
      <c r="E8" s="14">
        <f>D8*Tax</f>
        <v>3.42</v>
      </c>
      <c r="F8" s="14">
        <f t="shared" si="1"/>
        <v>60.42</v>
      </c>
      <c r="I8" s="12" t="s">
        <v>54</v>
      </c>
      <c r="J8" s="13">
        <f>COUNTA(Customer_Name)</f>
        <v>29</v>
      </c>
    </row>
    <row r="9" spans="1:10" x14ac:dyDescent="0.25">
      <c r="A9" t="s">
        <v>26</v>
      </c>
      <c r="B9">
        <v>8</v>
      </c>
      <c r="C9" s="8">
        <v>31</v>
      </c>
      <c r="D9" s="14">
        <f t="shared" si="0"/>
        <v>248</v>
      </c>
      <c r="E9" s="14">
        <f>D9*Tax</f>
        <v>14.879999999999999</v>
      </c>
      <c r="F9" s="14">
        <f t="shared" si="1"/>
        <v>262.88</v>
      </c>
    </row>
    <row r="10" spans="1:10" x14ac:dyDescent="0.25">
      <c r="A10" t="s">
        <v>27</v>
      </c>
      <c r="B10">
        <v>6</v>
      </c>
      <c r="C10" s="8">
        <v>27</v>
      </c>
      <c r="D10" s="14">
        <f t="shared" si="0"/>
        <v>162</v>
      </c>
      <c r="E10" s="14">
        <f>D10*Tax</f>
        <v>9.7199999999999989</v>
      </c>
      <c r="F10" s="14">
        <f t="shared" si="1"/>
        <v>171.72</v>
      </c>
    </row>
    <row r="11" spans="1:10" x14ac:dyDescent="0.25">
      <c r="A11" t="s">
        <v>28</v>
      </c>
      <c r="B11">
        <v>5</v>
      </c>
      <c r="C11" s="8">
        <v>32</v>
      </c>
      <c r="D11" s="14">
        <f t="shared" si="0"/>
        <v>160</v>
      </c>
      <c r="E11" s="14">
        <f>D11*Tax</f>
        <v>9.6</v>
      </c>
      <c r="F11" s="14">
        <f t="shared" si="1"/>
        <v>169.6</v>
      </c>
    </row>
    <row r="12" spans="1:10" x14ac:dyDescent="0.25">
      <c r="A12" t="s">
        <v>29</v>
      </c>
      <c r="B12">
        <v>9</v>
      </c>
      <c r="C12" s="8">
        <v>27</v>
      </c>
      <c r="D12" s="14">
        <f t="shared" si="0"/>
        <v>243</v>
      </c>
      <c r="E12" s="14">
        <f>D12*Tax</f>
        <v>14.58</v>
      </c>
      <c r="F12" s="14">
        <f t="shared" si="1"/>
        <v>257.58</v>
      </c>
    </row>
    <row r="13" spans="1:10" x14ac:dyDescent="0.25">
      <c r="A13" t="s">
        <v>30</v>
      </c>
      <c r="B13">
        <v>10</v>
      </c>
      <c r="C13" s="8">
        <v>30</v>
      </c>
      <c r="D13" s="14">
        <f t="shared" si="0"/>
        <v>300</v>
      </c>
      <c r="E13" s="14">
        <f>D13*Tax</f>
        <v>18</v>
      </c>
      <c r="F13" s="14">
        <f t="shared" si="1"/>
        <v>318</v>
      </c>
    </row>
    <row r="14" spans="1:10" x14ac:dyDescent="0.25">
      <c r="A14" t="s">
        <v>31</v>
      </c>
      <c r="B14">
        <v>7</v>
      </c>
      <c r="C14" s="8">
        <v>16</v>
      </c>
      <c r="D14" s="14">
        <f t="shared" si="0"/>
        <v>112</v>
      </c>
      <c r="E14" s="14">
        <f>D14*Tax</f>
        <v>6.72</v>
      </c>
      <c r="F14" s="14">
        <f t="shared" si="1"/>
        <v>118.72</v>
      </c>
    </row>
    <row r="15" spans="1:10" x14ac:dyDescent="0.25">
      <c r="A15" t="s">
        <v>32</v>
      </c>
      <c r="B15">
        <v>6</v>
      </c>
      <c r="C15" s="8">
        <v>25</v>
      </c>
      <c r="D15" s="14">
        <f t="shared" si="0"/>
        <v>150</v>
      </c>
      <c r="E15" s="14">
        <f>D15*Tax</f>
        <v>9</v>
      </c>
      <c r="F15" s="14">
        <f t="shared" si="1"/>
        <v>159</v>
      </c>
    </row>
    <row r="16" spans="1:10" x14ac:dyDescent="0.25">
      <c r="A16" t="s">
        <v>33</v>
      </c>
      <c r="B16">
        <v>3</v>
      </c>
      <c r="C16" s="8">
        <v>11</v>
      </c>
      <c r="D16" s="14">
        <f t="shared" si="0"/>
        <v>33</v>
      </c>
      <c r="E16" s="14">
        <f>D16*Tax</f>
        <v>1.98</v>
      </c>
      <c r="F16" s="14">
        <f t="shared" si="1"/>
        <v>34.979999999999997</v>
      </c>
    </row>
    <row r="17" spans="1:6" x14ac:dyDescent="0.25">
      <c r="A17" t="s">
        <v>34</v>
      </c>
      <c r="B17">
        <v>10</v>
      </c>
      <c r="C17" s="8">
        <v>27</v>
      </c>
      <c r="D17" s="14">
        <f t="shared" si="0"/>
        <v>270</v>
      </c>
      <c r="E17" s="14">
        <f>D17*Tax</f>
        <v>16.2</v>
      </c>
      <c r="F17" s="14">
        <f t="shared" si="1"/>
        <v>286.2</v>
      </c>
    </row>
    <row r="18" spans="1:6" x14ac:dyDescent="0.25">
      <c r="A18" t="s">
        <v>35</v>
      </c>
      <c r="B18">
        <v>8</v>
      </c>
      <c r="C18" s="8">
        <v>27</v>
      </c>
      <c r="D18" s="14">
        <f t="shared" si="0"/>
        <v>216</v>
      </c>
      <c r="E18" s="14">
        <f>D18*Tax</f>
        <v>12.959999999999999</v>
      </c>
      <c r="F18" s="14">
        <f t="shared" si="1"/>
        <v>228.96</v>
      </c>
    </row>
    <row r="19" spans="1:6" x14ac:dyDescent="0.25">
      <c r="A19" t="s">
        <v>36</v>
      </c>
      <c r="B19">
        <v>7</v>
      </c>
      <c r="C19" s="8">
        <v>44</v>
      </c>
      <c r="D19" s="14">
        <f t="shared" si="0"/>
        <v>308</v>
      </c>
      <c r="E19" s="14">
        <f>D19*Tax</f>
        <v>18.48</v>
      </c>
      <c r="F19" s="14">
        <f t="shared" si="1"/>
        <v>326.48</v>
      </c>
    </row>
    <row r="20" spans="1:6" x14ac:dyDescent="0.25">
      <c r="A20" t="s">
        <v>37</v>
      </c>
      <c r="B20">
        <v>10</v>
      </c>
      <c r="C20" s="8">
        <v>16</v>
      </c>
      <c r="D20" s="14">
        <f t="shared" si="0"/>
        <v>160</v>
      </c>
      <c r="E20" s="14">
        <f>D20*Tax</f>
        <v>9.6</v>
      </c>
      <c r="F20" s="14">
        <f t="shared" si="1"/>
        <v>169.6</v>
      </c>
    </row>
    <row r="21" spans="1:6" x14ac:dyDescent="0.25">
      <c r="A21" t="s">
        <v>38</v>
      </c>
      <c r="B21">
        <v>5</v>
      </c>
      <c r="C21" s="8">
        <v>36</v>
      </c>
      <c r="D21" s="14">
        <f t="shared" si="0"/>
        <v>180</v>
      </c>
      <c r="E21" s="14">
        <f>D21*Tax</f>
        <v>10.799999999999999</v>
      </c>
      <c r="F21" s="14">
        <f t="shared" si="1"/>
        <v>190.8</v>
      </c>
    </row>
    <row r="22" spans="1:6" x14ac:dyDescent="0.25">
      <c r="A22" t="s">
        <v>39</v>
      </c>
      <c r="B22">
        <v>6</v>
      </c>
      <c r="C22" s="8">
        <v>38</v>
      </c>
      <c r="D22" s="14">
        <f t="shared" si="0"/>
        <v>228</v>
      </c>
      <c r="E22" s="14">
        <f>D22*Tax</f>
        <v>13.68</v>
      </c>
      <c r="F22" s="14">
        <f t="shared" si="1"/>
        <v>241.68</v>
      </c>
    </row>
    <row r="23" spans="1:6" x14ac:dyDescent="0.25">
      <c r="A23" t="s">
        <v>40</v>
      </c>
      <c r="B23">
        <v>5</v>
      </c>
      <c r="C23" s="8">
        <v>27</v>
      </c>
      <c r="D23" s="14">
        <f t="shared" si="0"/>
        <v>135</v>
      </c>
      <c r="E23" s="14">
        <f>D23*Tax</f>
        <v>8.1</v>
      </c>
      <c r="F23" s="14">
        <f t="shared" si="1"/>
        <v>143.1</v>
      </c>
    </row>
    <row r="24" spans="1:6" x14ac:dyDescent="0.25">
      <c r="A24" t="s">
        <v>41</v>
      </c>
      <c r="B24">
        <v>3</v>
      </c>
      <c r="C24" s="8">
        <v>32</v>
      </c>
      <c r="D24" s="14">
        <f t="shared" si="0"/>
        <v>96</v>
      </c>
      <c r="E24" s="14">
        <f>D24*Tax</f>
        <v>5.76</v>
      </c>
      <c r="F24" s="14">
        <f t="shared" si="1"/>
        <v>101.76</v>
      </c>
    </row>
    <row r="25" spans="1:6" x14ac:dyDescent="0.25">
      <c r="A25" t="s">
        <v>42</v>
      </c>
      <c r="B25">
        <v>7</v>
      </c>
      <c r="C25" s="8">
        <v>44</v>
      </c>
      <c r="D25" s="14">
        <f t="shared" si="0"/>
        <v>308</v>
      </c>
      <c r="E25" s="14">
        <f>D25*Tax</f>
        <v>18.48</v>
      </c>
      <c r="F25" s="14">
        <f t="shared" si="1"/>
        <v>326.48</v>
      </c>
    </row>
    <row r="26" spans="1:6" x14ac:dyDescent="0.25">
      <c r="A26" t="s">
        <v>43</v>
      </c>
      <c r="B26">
        <v>4</v>
      </c>
      <c r="C26" s="8">
        <v>11</v>
      </c>
      <c r="D26" s="14">
        <f t="shared" si="0"/>
        <v>44</v>
      </c>
      <c r="E26" s="14">
        <f>D26*Tax</f>
        <v>2.6399999999999997</v>
      </c>
      <c r="F26" s="14">
        <f t="shared" si="1"/>
        <v>46.64</v>
      </c>
    </row>
    <row r="27" spans="1:6" x14ac:dyDescent="0.25">
      <c r="A27" t="s">
        <v>44</v>
      </c>
      <c r="B27">
        <v>8</v>
      </c>
      <c r="C27" s="8">
        <v>10</v>
      </c>
      <c r="D27" s="14">
        <f t="shared" si="0"/>
        <v>80</v>
      </c>
      <c r="E27" s="14">
        <f>D27*Tax</f>
        <v>4.8</v>
      </c>
      <c r="F27" s="14">
        <f t="shared" si="1"/>
        <v>84.8</v>
      </c>
    </row>
    <row r="28" spans="1:6" x14ac:dyDescent="0.25">
      <c r="A28" t="s">
        <v>45</v>
      </c>
      <c r="B28">
        <v>6</v>
      </c>
      <c r="C28" s="8">
        <v>33</v>
      </c>
      <c r="D28" s="14">
        <f t="shared" si="0"/>
        <v>198</v>
      </c>
      <c r="E28" s="14">
        <f>D28*Tax</f>
        <v>11.879999999999999</v>
      </c>
      <c r="F28" s="14">
        <f t="shared" si="1"/>
        <v>209.88</v>
      </c>
    </row>
    <row r="29" spans="1:6" x14ac:dyDescent="0.25">
      <c r="A29" t="s">
        <v>46</v>
      </c>
      <c r="B29">
        <v>5</v>
      </c>
      <c r="C29" s="8">
        <v>50</v>
      </c>
      <c r="D29" s="14">
        <f t="shared" si="0"/>
        <v>250</v>
      </c>
      <c r="E29" s="14">
        <f>D29*Tax</f>
        <v>15</v>
      </c>
      <c r="F29" s="14">
        <f t="shared" si="1"/>
        <v>265</v>
      </c>
    </row>
    <row r="30" spans="1:6" x14ac:dyDescent="0.25">
      <c r="A30" t="s">
        <v>47</v>
      </c>
      <c r="B30">
        <v>5</v>
      </c>
      <c r="C30" s="8">
        <v>19</v>
      </c>
      <c r="D30" s="14">
        <f t="shared" si="0"/>
        <v>95</v>
      </c>
      <c r="E30" s="14">
        <f>D30*Tax</f>
        <v>5.7</v>
      </c>
      <c r="F30" s="14">
        <f t="shared" si="1"/>
        <v>100.7</v>
      </c>
    </row>
    <row r="31" spans="1:6" x14ac:dyDescent="0.25">
      <c r="A31" t="s">
        <v>48</v>
      </c>
      <c r="B31">
        <v>3</v>
      </c>
      <c r="C31" s="8">
        <v>31</v>
      </c>
      <c r="D31" s="14">
        <f t="shared" si="0"/>
        <v>93</v>
      </c>
      <c r="E31" s="14">
        <f>D31*Tax</f>
        <v>5.58</v>
      </c>
      <c r="F31" s="14">
        <f t="shared" si="1"/>
        <v>98.58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Questions</vt:lpstr>
      <vt:lpstr>Exercise</vt:lpstr>
      <vt:lpstr>Customer_Name</vt:lpstr>
      <vt:lpstr>Price_Per_Item</vt:lpstr>
      <vt:lpstr>Quantity</vt:lpstr>
      <vt:lpstr>Sales_Tax</vt:lpstr>
      <vt:lpstr>Tax</vt:lpstr>
      <vt:lpstr>Total</vt:lpstr>
      <vt:lpstr>Total__inc_Tax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2026-08-09T13:57:15Z</dcterms:modified>
</cp:coreProperties>
</file>