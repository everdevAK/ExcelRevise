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intermediate_excel\"/>
    </mc:Choice>
  </mc:AlternateContent>
  <xr:revisionPtr revIDLastSave="0" documentId="13_ncr:1_{3327F7B7-362D-44E7-94A5-1D2F69960931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00 How to Use" sheetId="2" r:id="rId1"/>
    <sheet name="01 Standards" sheetId="1" r:id="rId2"/>
    <sheet name="02 Sales Data" sheetId="3" r:id="rId3"/>
    <sheet name="03 Calculations" sheetId="4" r:id="rId4"/>
    <sheet name="04 Analysis" sheetId="5" r:id="rId5"/>
    <sheet name="05 Cell Styles" sheetId="6" r:id="rId6"/>
    <sheet name="06 Protection" sheetId="7" r:id="rId7"/>
  </sheets>
  <definedNames>
    <definedName name="Sales_Tax">'01 Standards'!$M$4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I26" i="7"/>
  <c r="J26" i="7" s="1"/>
  <c r="I25" i="7"/>
  <c r="J25" i="7" s="1"/>
  <c r="I24" i="7"/>
  <c r="J24" i="7" s="1"/>
  <c r="I23" i="7"/>
  <c r="J23" i="7" s="1"/>
  <c r="I22" i="7"/>
  <c r="J22" i="7" s="1"/>
  <c r="I21" i="7"/>
  <c r="J21" i="7" s="1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I26" i="6"/>
  <c r="J26" i="6" s="1"/>
  <c r="I25" i="6"/>
  <c r="J25" i="6" s="1"/>
  <c r="I24" i="6"/>
  <c r="J24" i="6" s="1"/>
  <c r="I23" i="6"/>
  <c r="J23" i="6" s="1"/>
  <c r="I22" i="6"/>
  <c r="J22" i="6" s="1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13" i="6"/>
  <c r="J13" i="6" s="1"/>
  <c r="I12" i="6"/>
  <c r="J12" i="6" s="1"/>
  <c r="I11" i="6"/>
  <c r="J11" i="6" s="1"/>
  <c r="J10" i="6"/>
  <c r="I10" i="6"/>
  <c r="I9" i="6"/>
  <c r="J9" i="6" s="1"/>
  <c r="I8" i="6"/>
  <c r="J8" i="6" s="1"/>
  <c r="I7" i="6"/>
  <c r="J7" i="6" s="1"/>
  <c r="J6" i="6"/>
  <c r="I6" i="6"/>
  <c r="I5" i="6"/>
  <c r="J5" i="6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J14" i="3"/>
  <c r="I14" i="3"/>
  <c r="I13" i="3"/>
  <c r="J13" i="3" s="1"/>
  <c r="I12" i="3"/>
  <c r="J12" i="3" s="1"/>
  <c r="J11" i="3"/>
  <c r="I11" i="3"/>
  <c r="I10" i="3"/>
  <c r="J10" i="3" s="1"/>
  <c r="I9" i="3"/>
  <c r="J9" i="3" s="1"/>
  <c r="I8" i="3"/>
  <c r="J8" i="3" s="1"/>
  <c r="I7" i="3"/>
  <c r="J7" i="3" s="1"/>
  <c r="J6" i="3"/>
  <c r="I6" i="3"/>
  <c r="I5" i="3"/>
  <c r="J5" i="3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5" i="1"/>
</calcChain>
</file>

<file path=xl/sharedStrings.xml><?xml version="1.0" encoding="utf-8"?>
<sst xmlns="http://schemas.openxmlformats.org/spreadsheetml/2006/main" count="638" uniqueCount="74">
  <si>
    <t>Sales Data</t>
  </si>
  <si>
    <t>Month</t>
  </si>
  <si>
    <t>Store</t>
  </si>
  <si>
    <t>Town</t>
  </si>
  <si>
    <t>Store Code</t>
  </si>
  <si>
    <t>Country</t>
  </si>
  <si>
    <t>Manager</t>
  </si>
  <si>
    <t xml:space="preserve">Category </t>
  </si>
  <si>
    <t>Sales</t>
  </si>
  <si>
    <t>Tax</t>
  </si>
  <si>
    <t>Total</t>
  </si>
  <si>
    <t>Sales Tax</t>
  </si>
  <si>
    <t>Computech</t>
  </si>
  <si>
    <t>MicroWorld</t>
  </si>
  <si>
    <t>Aberdeen</t>
  </si>
  <si>
    <t>ABD</t>
  </si>
  <si>
    <t>UK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</si>
  <si>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</si>
  <si>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</si>
  <si>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</si>
  <si>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</si>
  <si>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</si>
  <si>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</si>
  <si>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</si>
  <si>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</si>
  <si>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</si>
  <si>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</si>
  <si>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</si>
  <si>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</si>
  <si>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</si>
  <si>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</si>
  <si>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</si>
  <si>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</si>
  <si>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Ada Wang</t>
  </si>
  <si>
    <t>Ashley Grahm</t>
  </si>
  <si>
    <t>Pedro Costa</t>
  </si>
  <si>
    <t>Tina Ray</t>
  </si>
  <si>
    <t>Abel Ballard</t>
  </si>
  <si>
    <t>Gretchen Williams</t>
  </si>
  <si>
    <t>Mobile Phones</t>
  </si>
  <si>
    <t>PC's</t>
  </si>
  <si>
    <t>Laptops</t>
  </si>
  <si>
    <t>Accessories</t>
  </si>
  <si>
    <t>Printers</t>
  </si>
  <si>
    <t>Cameras</t>
  </si>
  <si>
    <t>Games</t>
  </si>
  <si>
    <t>TV's</t>
  </si>
  <si>
    <t>How to Use this Workbook</t>
  </si>
  <si>
    <t>Instruction</t>
  </si>
  <si>
    <t>Data</t>
  </si>
  <si>
    <t>Calculations</t>
  </si>
  <si>
    <t>Dashboard</t>
  </si>
  <si>
    <t>Versions</t>
  </si>
  <si>
    <t>Copy and Paste Figures into 'SalesData' table on the last
day of the month. Refresh all PivotTables.</t>
  </si>
  <si>
    <t>Perform any calculations on the 'Calculations' tab.</t>
  </si>
  <si>
    <t>Refresh the dashboard weekly to update data. Filter data
Users the slicers only.</t>
  </si>
  <si>
    <t>Update the 'Versions' tab after any change is made to this spreadsheet. Include your initials, date and change details.</t>
  </si>
  <si>
    <t>Cell Styles</t>
  </si>
  <si>
    <t>Heading</t>
  </si>
  <si>
    <t>Warning</t>
  </si>
  <si>
    <t>Input Cell</t>
  </si>
  <si>
    <t>Calculation</t>
  </si>
  <si>
    <t>Saving</t>
  </si>
  <si>
    <t>Superstore Sales 2026</t>
  </si>
  <si>
    <t>Sales by Manager</t>
  </si>
  <si>
    <t>Total Sales</t>
  </si>
  <si>
    <t>Sales by Category</t>
  </si>
  <si>
    <t>Count</t>
  </si>
  <si>
    <t>Minimum Sales</t>
  </si>
  <si>
    <t>Maximium Sale</t>
  </si>
  <si>
    <t>Average Sales</t>
  </si>
  <si>
    <t>Analysis</t>
  </si>
  <si>
    <t>Sales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</si>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</sst>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FA7D0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4" fillId="4" borderId="0" xfId="0" applyFont="1" applyFill="1"/>
    <xf numFmtId="14" fontId="0" fillId="0" borderId="0" xfId="0" applyNumberFormat="1"/>
    <xf numFmtId="44" fontId="0" fillId="0" borderId="0" xfId="0" applyNumberFormat="1"/>
    <xf numFmtId="9" fontId="0" fillId="0" borderId="4" xfId="0" applyNumberFormat="1" applyBorder="1"/>
    <xf numFmtId="0" fontId="0" fillId="0" borderId="4" xfId="0" applyBorder="1"/>
    <xf numFmtId="0" fontId="6" fillId="5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7" fillId="0" borderId="5" xfId="0" applyFont="1" applyBorder="1"/>
    <xf numFmtId="0" fontId="7" fillId="0" borderId="0" xfId="0" applyFont="1"/>
    <xf numFmtId="0" fontId="1" fillId="0" borderId="1" xfId="1"/>
    <xf numFmtId="0" fontId="2" fillId="2" borderId="2" xfId="2"/>
    <xf numFmtId="0" fontId="10" fillId="0" borderId="0" xfId="4" applyFont="1"/>
    <xf numFmtId="0" fontId="11" fillId="2" borderId="2" xfId="2" applyFont="1"/>
    <xf numFmtId="0" fontId="12" fillId="3" borderId="2" xfId="3" applyFont="1"/>
    <xf numFmtId="0" fontId="4" fillId="6" borderId="4" xfId="0" applyFont="1" applyFill="1" applyBorder="1"/>
    <xf numFmtId="0" fontId="4" fillId="6" borderId="0" xfId="0" applyFont="1" applyFill="1"/>
    <xf numFmtId="14" fontId="2" fillId="2" borderId="2" xfId="2" applyNumberFormat="1"/>
    <xf numFmtId="44" fontId="2" fillId="2" borderId="2" xfId="2" applyNumberFormat="1"/>
    <xf numFmtId="44" fontId="3" fillId="3" borderId="2" xfId="3" applyNumberFormat="1"/>
    <xf numFmtId="0" fontId="4" fillId="7" borderId="0" xfId="0" applyFont="1" applyFill="1"/>
    <xf numFmtId="44" fontId="0" fillId="0" borderId="3" xfId="0" applyNumberFormat="1" applyBorder="1"/>
    <xf numFmtId="44" fontId="0" fillId="0" borderId="4" xfId="0" applyNumberFormat="1" applyBorder="1"/>
    <xf numFmtId="0" fontId="0" fillId="0" borderId="6" xfId="0" applyBorder="1"/>
    <xf numFmtId="44" fontId="0" fillId="0" borderId="6" xfId="0" applyNumberFormat="1" applyBorder="1"/>
    <xf numFmtId="0" fontId="6" fillId="0" borderId="7" xfId="0" applyFont="1" applyBorder="1"/>
    <xf numFmtId="44" fontId="6" fillId="0" borderId="7" xfId="0" applyNumberFormat="1" applyFont="1" applyBorder="1"/>
    <xf numFmtId="0" fontId="4" fillId="4" borderId="0" xfId="0" applyFont="1" applyFill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44" fontId="0" fillId="0" borderId="0" xfId="0" applyNumberFormat="1" applyProtection="1">
      <protection locked="0"/>
    </xf>
    <xf numFmtId="9" fontId="0" fillId="0" borderId="4" xfId="0" applyNumberFormat="1" applyBorder="1" applyProtection="1">
      <protection locked="0"/>
    </xf>
    <xf numFmtId="0" fontId="8" fillId="7" borderId="0" xfId="0" applyFont="1" applyFill="1" applyAlignment="1">
      <alignment horizontal="left" vertical="center"/>
    </xf>
    <xf numFmtId="0" fontId="1" fillId="0" borderId="1" xfId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3" fillId="6" borderId="1" xfId="1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</cellXfs>
  <cellStyles count="5">
    <cellStyle name="Calculation" xfId="3" builtinId="22"/>
    <cellStyle name="Heading 1" xfId="1" builtinId="16"/>
    <cellStyle name="Input" xfId="2" builtinId="20"/>
    <cellStyle name="Normal" xfId="0" builtinId="0"/>
    <cellStyle name="Warning Text" xfId="4" builtinId="11"/>
  </cellStyles>
  <dxfs count="2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m/d/yy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Manager (2026)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 Analysis'!$A$5</c:f>
              <c:strCache>
                <c:ptCount val="1"/>
                <c:pt idx="0">
                  <c:v>Leon Kenedy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Analysis'!$B$5</c:f>
              <c:numCache>
                <c:formatCode>_("$"* #,##0.00_);_("$"* \(#,##0.00\);_("$"* "-"??_);_(@_)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4-4191-AAC6-423501EC160D}"/>
            </c:ext>
          </c:extLst>
        </c:ser>
        <c:ser>
          <c:idx val="1"/>
          <c:order val="1"/>
          <c:tx>
            <c:strRef>
              <c:f>'04 Analysis'!$A$6</c:f>
              <c:strCache>
                <c:ptCount val="1"/>
                <c:pt idx="0">
                  <c:v>Deborah Ashby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Analysis'!$B$6</c:f>
              <c:numCache>
                <c:formatCode>_("$"* #,##0.00_);_("$"* \(#,##0.00\);_("$"* "-"??_);_(@_)</c:formatCode>
                <c:ptCount val="1"/>
                <c:pt idx="0">
                  <c:v>1794.12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4-4191-AAC6-423501EC160D}"/>
            </c:ext>
          </c:extLst>
        </c:ser>
        <c:ser>
          <c:idx val="2"/>
          <c:order val="2"/>
          <c:tx>
            <c:strRef>
              <c:f>'04 Analysis'!$A$7</c:f>
              <c:strCache>
                <c:ptCount val="1"/>
                <c:pt idx="0">
                  <c:v>Adam Lacey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Analysis'!$B$7</c:f>
              <c:numCache>
                <c:formatCode>_("$"* #,##0.00_);_("$"* \(#,##0.00\);_("$"* "-"??_);_(@_)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4-4191-AAC6-423501EC160D}"/>
            </c:ext>
          </c:extLst>
        </c:ser>
        <c:ser>
          <c:idx val="3"/>
          <c:order val="3"/>
          <c:tx>
            <c:strRef>
              <c:f>'04 Analysis'!$A$8</c:f>
              <c:strCache>
                <c:ptCount val="1"/>
                <c:pt idx="0">
                  <c:v>Ben Lee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Analysis'!$B$8</c:f>
              <c:numCache>
                <c:formatCode>_("$"* #,##0.00_);_("$"* \(#,##0.00\);_("$"* "-"??_);_(@_)</c:formatCode>
                <c:ptCount val="1"/>
                <c:pt idx="0">
                  <c:v>298.32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4-4191-AAC6-423501EC160D}"/>
            </c:ext>
          </c:extLst>
        </c:ser>
        <c:ser>
          <c:idx val="4"/>
          <c:order val="4"/>
          <c:tx>
            <c:strRef>
              <c:f>'04 Analysis'!$A$9</c:f>
              <c:strCache>
                <c:ptCount val="1"/>
                <c:pt idx="0">
                  <c:v>Sarah Jones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Analysis'!$B$9</c:f>
              <c:numCache>
                <c:formatCode>_("$"* #,##0.00_);_("$"* \(#,##0.00\);_("$"* "-"??_);_(@_)</c:formatCode>
                <c:ptCount val="1"/>
                <c:pt idx="0">
                  <c:v>183.25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4-4191-AAC6-423501EC160D}"/>
            </c:ext>
          </c:extLst>
        </c:ser>
        <c:ser>
          <c:idx val="5"/>
          <c:order val="5"/>
          <c:tx>
            <c:strRef>
              <c:f>'04 Analysis'!$A$10</c:f>
              <c:strCache>
                <c:ptCount val="1"/>
                <c:pt idx="0">
                  <c:v>Olivia Green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Analysis'!$B$10</c:f>
              <c:numCache>
                <c:formatCode>_("$"* #,##0.00_);_("$"* \(#,##0.00\);_("$"* "-"??_);_(@_)</c:formatCode>
                <c:ptCount val="1"/>
                <c:pt idx="0">
                  <c:v>1693.79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F4-4191-AAC6-423501EC160D}"/>
            </c:ext>
          </c:extLst>
        </c:ser>
        <c:ser>
          <c:idx val="6"/>
          <c:order val="6"/>
          <c:tx>
            <c:strRef>
              <c:f>'04 Analysis'!$A$11</c:f>
              <c:strCache>
                <c:ptCount val="1"/>
                <c:pt idx="0">
                  <c:v>Ming Sia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Analysis'!$B$11</c:f>
              <c:numCache>
                <c:formatCode>_("$"* #,##0.00_);_("$"* \(#,##0.00\);_("$"* "-"??_);_(@_)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F4-4191-AAC6-423501EC160D}"/>
            </c:ext>
          </c:extLst>
        </c:ser>
        <c:ser>
          <c:idx val="7"/>
          <c:order val="7"/>
          <c:tx>
            <c:strRef>
              <c:f>'04 Analysis'!$A$12</c:f>
              <c:strCache>
                <c:ptCount val="1"/>
                <c:pt idx="0">
                  <c:v>David Patterson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Analysis'!$B$12</c:f>
              <c:numCache>
                <c:formatCode>_("$"* #,##0.00_);_("$"* \(#,##0.00\);_("$"* "-"??_);_(@_)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F4-4191-AAC6-423501EC160D}"/>
            </c:ext>
          </c:extLst>
        </c:ser>
        <c:ser>
          <c:idx val="8"/>
          <c:order val="8"/>
          <c:tx>
            <c:strRef>
              <c:f>'04 Analysis'!$A$13</c:f>
              <c:strCache>
                <c:ptCount val="1"/>
                <c:pt idx="0">
                  <c:v>Chloe Newbury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Analysis'!$B$13</c:f>
              <c:numCache>
                <c:formatCode>_("$"* #,##0.00_);_("$"* \(#,##0.00\);_("$"* "-"??_);_(@_)</c:formatCode>
                <c:ptCount val="1"/>
                <c:pt idx="0">
                  <c:v>1085.08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F4-4191-AAC6-423501EC160D}"/>
            </c:ext>
          </c:extLst>
        </c:ser>
        <c:ser>
          <c:idx val="9"/>
          <c:order val="9"/>
          <c:tx>
            <c:strRef>
              <c:f>'04 Analysis'!$A$14</c:f>
              <c:strCache>
                <c:ptCount val="1"/>
                <c:pt idx="0">
                  <c:v>Mrtin Waters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Analysis'!$B$14</c:f>
              <c:numCache>
                <c:formatCode>_("$"* #,##0.00_);_("$"* \(#,##0.00\);_("$"* "-"??_);_(@_)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F4-4191-AAC6-423501EC160D}"/>
            </c:ext>
          </c:extLst>
        </c:ser>
        <c:ser>
          <c:idx val="10"/>
          <c:order val="10"/>
          <c:tx>
            <c:strRef>
              <c:f>'04 Analysis'!$A$15</c:f>
              <c:strCache>
                <c:ptCount val="1"/>
                <c:pt idx="0">
                  <c:v>Julie Tavistock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Analysis'!$B$15</c:f>
              <c:numCache>
                <c:formatCode>_("$"* #,##0.00_);_("$"* \(#,##0.00\);_("$"* "-"??_);_(@_)</c:formatCode>
                <c:ptCount val="1"/>
                <c:pt idx="0">
                  <c:v>173.53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F4-4191-AAC6-423501EC160D}"/>
            </c:ext>
          </c:extLst>
        </c:ser>
        <c:ser>
          <c:idx val="11"/>
          <c:order val="11"/>
          <c:tx>
            <c:strRef>
              <c:f>'04 Analysis'!$A$16</c:f>
              <c:strCache>
                <c:ptCount val="1"/>
                <c:pt idx="0">
                  <c:v>Kurt Webster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Analysis'!$B$16</c:f>
              <c:numCache>
                <c:formatCode>_("$"* #,##0.00_);_("$"* \(#,##0.00\);_("$"* "-"??_);_(@_)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0F4-4191-AAC6-423501EC160D}"/>
            </c:ext>
          </c:extLst>
        </c:ser>
        <c:ser>
          <c:idx val="12"/>
          <c:order val="12"/>
          <c:tx>
            <c:strRef>
              <c:f>'04 Analysis'!$A$17</c:f>
              <c:strCache>
                <c:ptCount val="1"/>
                <c:pt idx="0">
                  <c:v>Lucy Matthews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'04 Analysis'!$B$4</c:f>
              <c:strCache>
                <c:ptCount val="1"/>
                <c:pt idx="0">
                  <c:v>Sales Total</c:v>
                </c:pt>
              </c:strCache>
            </c:strRef>
          </c:cat>
          <c:val>
            <c:numRef>
              <c:f>'04 Analysis'!$B$17</c:f>
              <c:numCache>
                <c:formatCode>_("$"* #,##0.00_);_("$"* \(#,##0.00\);_("$"* "-"??_);_(@_)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F4-4191-AAC6-423501EC1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7426607"/>
        <c:axId val="1391106767"/>
      </c:barChart>
      <c:catAx>
        <c:axId val="15574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06767"/>
        <c:crosses val="autoZero"/>
        <c:auto val="1"/>
        <c:lblAlgn val="ctr"/>
        <c:lblOffset val="100"/>
        <c:noMultiLvlLbl val="0"/>
      </c:catAx>
      <c:valAx>
        <c:axId val="13911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42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00 How to Use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00 How to Use'!A1"/><Relationship Id="rId1" Type="http://schemas.openxmlformats.org/officeDocument/2006/relationships/hyperlink" Target="#'04 Analysis'!A1"/><Relationship Id="rId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00 How to Use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00 How to Use'!A1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00 How to Us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1</xdr:row>
      <xdr:rowOff>0</xdr:rowOff>
    </xdr:from>
    <xdr:to>
      <xdr:col>14</xdr:col>
      <xdr:colOff>180975</xdr:colOff>
      <xdr:row>3</xdr:row>
      <xdr:rowOff>180975</xdr:rowOff>
    </xdr:to>
    <xdr:pic>
      <xdr:nvPicPr>
        <xdr:cNvPr id="2" name="Graphic 1" descr="Home with solid fill">
          <a:hlinkClick xmlns:r="http://schemas.openxmlformats.org/officeDocument/2006/relationships" r:id="rId1" tooltip="Go to How to Use Worksheet"/>
          <a:extLst>
            <a:ext uri="{FF2B5EF4-FFF2-40B4-BE49-F238E27FC236}">
              <a16:creationId xmlns:a16="http://schemas.microsoft.com/office/drawing/2014/main" id="{747F9EAF-9D49-4D67-B8B6-23BFF5766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886950" y="323850"/>
          <a:ext cx="590550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590551</xdr:colOff>
      <xdr:row>3</xdr:row>
      <xdr:rowOff>180975</xdr:rowOff>
    </xdr:from>
    <xdr:to>
      <xdr:col>18</xdr:col>
      <xdr:colOff>57151</xdr:colOff>
      <xdr:row>16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163314-2058-4CE2-FC58-099A3CF7D9E0}"/>
            </a:ext>
          </a:extLst>
        </xdr:cNvPr>
        <xdr:cNvSpPr txBox="1"/>
      </xdr:nvSpPr>
      <xdr:spPr>
        <a:xfrm>
          <a:off x="10487026" y="885825"/>
          <a:ext cx="1905000" cy="23336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 Creating</a:t>
          </a:r>
          <a:r>
            <a:rPr lang="en-US" sz="1100" b="1" baseline="0"/>
            <a:t> Hyper links:</a:t>
          </a:r>
        </a:p>
        <a:p>
          <a:r>
            <a:rPr lang="en-US" sz="1100" baseline="0"/>
            <a:t>* Insert Tab &gt; Links</a:t>
          </a:r>
        </a:p>
        <a:p>
          <a:r>
            <a:rPr lang="en-US" sz="1100" baseline="0"/>
            <a:t>* shortcut: </a:t>
          </a:r>
          <a:r>
            <a:rPr lang="en-US" sz="1100" b="1" baseline="0"/>
            <a:t>Ctrl + K</a:t>
          </a:r>
        </a:p>
        <a:p>
          <a:endParaRPr lang="en-US" sz="1100" b="1" baseline="0"/>
        </a:p>
        <a:p>
          <a:r>
            <a:rPr lang="en-US" sz="1100" b="1" baseline="0"/>
            <a:t>2. If you want to link someting with the workbook:</a:t>
          </a:r>
        </a:p>
        <a:p>
          <a:r>
            <a:rPr lang="en-US" sz="1100" b="0" baseline="0"/>
            <a:t>* Insert Hyperlinks &gt; Place in This Document.</a:t>
          </a:r>
        </a:p>
        <a:p>
          <a:endParaRPr lang="en-US" sz="1100" b="0" baseline="0"/>
        </a:p>
        <a:p>
          <a:r>
            <a:rPr lang="en-US" sz="1100" b="1"/>
            <a:t>3.</a:t>
          </a:r>
          <a:r>
            <a:rPr lang="en-US" sz="1100" b="1" baseline="0"/>
            <a:t> Can also add Screen Tips</a:t>
          </a:r>
        </a:p>
        <a:p>
          <a:endParaRPr lang="en-US" sz="1100" b="1" baseline="0"/>
        </a:p>
        <a:p>
          <a:r>
            <a:rPr lang="en-US" sz="1100" b="1" baseline="0"/>
            <a:t>4. Can add links to shapes and icons.</a:t>
          </a:r>
        </a:p>
      </xdr:txBody>
    </xdr:sp>
    <xdr:clientData/>
  </xdr:twoCellAnchor>
  <xdr:twoCellAnchor>
    <xdr:from>
      <xdr:col>10</xdr:col>
      <xdr:colOff>228600</xdr:colOff>
      <xdr:row>6</xdr:row>
      <xdr:rowOff>95250</xdr:rowOff>
    </xdr:from>
    <xdr:to>
      <xdr:col>14</xdr:col>
      <xdr:colOff>28575</xdr:colOff>
      <xdr:row>9</xdr:row>
      <xdr:rowOff>57150</xdr:rowOff>
    </xdr:to>
    <xdr:sp macro="" textlink="">
      <xdr:nvSpPr>
        <xdr:cNvPr id="3" name="Rectangle: Rounded Corners 2">
          <a:hlinkClick xmlns:r="http://schemas.openxmlformats.org/officeDocument/2006/relationships" r:id="rId1" tooltip="Jump to Analysis Worksheet"/>
          <a:extLst>
            <a:ext uri="{FF2B5EF4-FFF2-40B4-BE49-F238E27FC236}">
              <a16:creationId xmlns:a16="http://schemas.microsoft.com/office/drawing/2014/main" id="{24A72B9D-F10A-C4FC-D9CB-035A451995A4}"/>
            </a:ext>
          </a:extLst>
        </xdr:cNvPr>
        <xdr:cNvSpPr/>
      </xdr:nvSpPr>
      <xdr:spPr>
        <a:xfrm>
          <a:off x="7686675" y="1371600"/>
          <a:ext cx="2238375" cy="533400"/>
        </a:xfrm>
        <a:prstGeom prst="roundRect">
          <a:avLst/>
        </a:prstGeom>
        <a:solidFill>
          <a:schemeClr val="accent1">
            <a:lumMod val="50000"/>
          </a:schemeClr>
        </a:solidFill>
        <a:scene3d>
          <a:camera prst="obliqueTopLeft"/>
          <a:lightRig rig="threePt" dir="t"/>
        </a:scene3d>
        <a:sp3d>
          <a:bevelT w="165100" prst="coolSlant"/>
        </a:sp3d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Please click here to see analysis</a:t>
          </a:r>
        </a:p>
      </xdr:txBody>
    </xdr:sp>
    <xdr:clientData/>
  </xdr:twoCellAnchor>
  <xdr:twoCellAnchor editAs="oneCell">
    <xdr:from>
      <xdr:col>14</xdr:col>
      <xdr:colOff>123826</xdr:colOff>
      <xdr:row>1</xdr:row>
      <xdr:rowOff>1</xdr:rowOff>
    </xdr:from>
    <xdr:to>
      <xdr:col>14</xdr:col>
      <xdr:colOff>600076</xdr:colOff>
      <xdr:row>3</xdr:row>
      <xdr:rowOff>9526</xdr:rowOff>
    </xdr:to>
    <xdr:pic>
      <xdr:nvPicPr>
        <xdr:cNvPr id="5" name="Graphic 4" descr="Home with solid fill">
          <a:hlinkClick xmlns:r="http://schemas.openxmlformats.org/officeDocument/2006/relationships" r:id="rId2" tooltip="Go to How to Use Worksheet"/>
          <a:extLst>
            <a:ext uri="{FF2B5EF4-FFF2-40B4-BE49-F238E27FC236}">
              <a16:creationId xmlns:a16="http://schemas.microsoft.com/office/drawing/2014/main" id="{847E9F15-4826-FFEE-2A86-DDFAAFBE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20301" y="323851"/>
          <a:ext cx="476250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542925</xdr:colOff>
      <xdr:row>1</xdr:row>
      <xdr:rowOff>19050</xdr:rowOff>
    </xdr:from>
    <xdr:to>
      <xdr:col>8</xdr:col>
      <xdr:colOff>523875</xdr:colOff>
      <xdr:row>4</xdr:row>
      <xdr:rowOff>0</xdr:rowOff>
    </xdr:to>
    <xdr:pic>
      <xdr:nvPicPr>
        <xdr:cNvPr id="2" name="Graphic 1" descr="Home with solid fill">
          <a:hlinkClick xmlns:r="http://schemas.openxmlformats.org/officeDocument/2006/relationships" r:id="rId1" tooltip="Go to How to Use Worksheet"/>
          <a:extLst>
            <a:ext uri="{FF2B5EF4-FFF2-40B4-BE49-F238E27FC236}">
              <a16:creationId xmlns:a16="http://schemas.microsoft.com/office/drawing/2014/main" id="{E98ADB24-F754-46B3-89B2-BB7FD1A65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800850" y="361950"/>
          <a:ext cx="590550" cy="561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3</xdr:row>
      <xdr:rowOff>123825</xdr:rowOff>
    </xdr:from>
    <xdr:to>
      <xdr:col>12</xdr:col>
      <xdr:colOff>104774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C7E06-7AE0-7E98-9415-A5907200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352425</xdr:colOff>
      <xdr:row>1</xdr:row>
      <xdr:rowOff>28575</xdr:rowOff>
    </xdr:from>
    <xdr:to>
      <xdr:col>13</xdr:col>
      <xdr:colOff>333375</xdr:colOff>
      <xdr:row>4</xdr:row>
      <xdr:rowOff>19050</xdr:rowOff>
    </xdr:to>
    <xdr:pic>
      <xdr:nvPicPr>
        <xdr:cNvPr id="3" name="Graphic 2" descr="Home with solid fill">
          <a:hlinkClick xmlns:r="http://schemas.openxmlformats.org/officeDocument/2006/relationships" r:id="rId2" tooltip="Go to How to Use Worksheet"/>
          <a:extLst>
            <a:ext uri="{FF2B5EF4-FFF2-40B4-BE49-F238E27FC236}">
              <a16:creationId xmlns:a16="http://schemas.microsoft.com/office/drawing/2014/main" id="{D7923764-5966-4025-8C73-0D47A671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10600" y="352425"/>
          <a:ext cx="590550" cy="561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161925</xdr:colOff>
      <xdr:row>1</xdr:row>
      <xdr:rowOff>38100</xdr:rowOff>
    </xdr:from>
    <xdr:to>
      <xdr:col>14</xdr:col>
      <xdr:colOff>142875</xdr:colOff>
      <xdr:row>4</xdr:row>
      <xdr:rowOff>28575</xdr:rowOff>
    </xdr:to>
    <xdr:pic>
      <xdr:nvPicPr>
        <xdr:cNvPr id="2" name="Graphic 1" descr="Home with solid fill">
          <a:hlinkClick xmlns:r="http://schemas.openxmlformats.org/officeDocument/2006/relationships" r:id="rId1" tooltip="Go to How to Use Worksheet"/>
          <a:extLst>
            <a:ext uri="{FF2B5EF4-FFF2-40B4-BE49-F238E27FC236}">
              <a16:creationId xmlns:a16="http://schemas.microsoft.com/office/drawing/2014/main" id="{FB73050C-C758-43D1-BA49-9F970D26C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725025" y="361950"/>
          <a:ext cx="590550" cy="5619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DA504-1FF6-4DFC-A6E2-2522CD574AC9}" name="Table1" displayName="Table1" ref="A4:J26" totalsRowShown="0" headerRowDxfId="20">
  <autoFilter ref="A4:J26" xr:uid="{ADEDA504-1FF6-4DFC-A6E2-2522CD574AC9}"/>
  <tableColumns count="10">
    <tableColumn id="1" xr3:uid="{4FA32E62-D1B2-4E1C-B22C-7F1820CF3C38}" name="Month" dataDxfId="19"/>
    <tableColumn id="2" xr3:uid="{9876EB37-1A54-46BB-97D3-D2941D19ABCF}" name="Store"/>
    <tableColumn id="3" xr3:uid="{F4128D7F-47DF-4555-9E14-223FA5605DA8}" name="Town"/>
    <tableColumn id="4" xr3:uid="{B975D1A9-BA54-4B60-8267-67C1AFD8DE96}" name="Store Code"/>
    <tableColumn id="5" xr3:uid="{F9B0FF51-134C-40AE-A898-ED8FF6CC6AEC}" name="Country"/>
    <tableColumn id="6" xr3:uid="{C9A89668-DE14-4242-916A-64279947176A}" name="Manager"/>
    <tableColumn id="7" xr3:uid="{2F2A3F27-CA99-4F74-AE64-9906AF7B42FA}" name="Category "/>
    <tableColumn id="8" xr3:uid="{D7E5E7AC-86B4-45FD-A1C7-9FAB2E1B7183}" name="Sales" dataDxfId="18"/>
    <tableColumn id="9" xr3:uid="{9D2570B7-9C03-465F-AA65-DD73A1122AC5}" name="Tax" dataDxfId="17">
      <calculatedColumnFormula>H5*Sales_Tax</calculatedColumnFormula>
    </tableColumn>
    <tableColumn id="10" xr3:uid="{41C7F5B8-58AC-4FD3-ACD4-E835616B2F4B}" name="Total" dataDxfId="16">
      <calculatedColumnFormula>Table1[[#This Row],[Sales]]+Table1[[#This Row],[Tax]]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34D3A-EFB8-4D1F-8CD4-B1ED9AC7DB44}" name="Table13" displayName="Table13" ref="A4:J26" totalsRowShown="0" headerRowDxfId="15">
  <autoFilter ref="A4:J26" xr:uid="{1C834D3A-EFB8-4D1F-8CD4-B1ED9AC7DB44}"/>
  <tableColumns count="10">
    <tableColumn id="1" xr3:uid="{404BA949-51C1-47BF-9D4A-EA331BD67ED9}" name="Month" dataDxfId="14"/>
    <tableColumn id="2" xr3:uid="{CB811D78-37A9-4D56-BBBE-095629DA864E}" name="Store"/>
    <tableColumn id="3" xr3:uid="{095EBF0A-D327-41D5-93EE-62DEABD5D4BB}" name="Town"/>
    <tableColumn id="4" xr3:uid="{4F29C7E8-B164-41FB-BE55-7A24F4AE961D}" name="Store Code"/>
    <tableColumn id="5" xr3:uid="{D2E42872-79E5-4006-8DAF-99CEF8E52D8C}" name="Country"/>
    <tableColumn id="6" xr3:uid="{E8991F41-BBAE-411A-84C0-219AC41A929D}" name="Manager"/>
    <tableColumn id="7" xr3:uid="{5DC52266-03D2-4D53-93D2-BCA7BDB82CFE}" name="Category "/>
    <tableColumn id="8" xr3:uid="{F9A7A449-2196-48F7-B2F5-7C85FF5266F4}" name="Sales" dataDxfId="13"/>
    <tableColumn id="9" xr3:uid="{38A2A845-6114-4504-A967-C0B4ECC2E7A9}" name="Tax" dataDxfId="12">
      <calculatedColumnFormula>H5*Sales_Tax</calculatedColumnFormula>
    </tableColumn>
    <tableColumn id="10" xr3:uid="{EBCC0E28-E0D5-4509-9290-95042EF20416}" name="Total" dataDxfId="11">
      <calculatedColumnFormula>Table13[[#This Row],[Sales]]+Table13[[#This Row],[Tax]]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A4CA3-7BC3-4293-8302-267214498F44}" name="Table134" displayName="Table134" ref="A4:J26" totalsRowShown="0" headerRowDxfId="25">
  <autoFilter ref="A4:J26" xr:uid="{531A4CA3-7BC3-4293-8302-267214498F44}"/>
  <tableColumns count="10">
    <tableColumn id="1" xr3:uid="{76A51835-C557-4E45-A730-5C943622B750}" name="Month" dataDxfId="24" dataCellStyle="Input"/>
    <tableColumn id="2" xr3:uid="{9F2C00DE-0767-43F5-B261-9E79FB12D9C0}" name="Store" dataCellStyle="Input"/>
    <tableColumn id="3" xr3:uid="{531AE663-B191-47A5-92F9-336209B8C29D}" name="Town" dataCellStyle="Input"/>
    <tableColumn id="4" xr3:uid="{DC7549AC-EB7F-416C-B670-ABE58566B949}" name="Store Code" dataCellStyle="Input"/>
    <tableColumn id="5" xr3:uid="{C305D9FE-8E9B-4C18-B6C6-FDFB1A00AD49}" name="Country" dataCellStyle="Input"/>
    <tableColumn id="6" xr3:uid="{3223A922-0AD0-41CC-BFFD-D5472DCA4A09}" name="Manager" dataCellStyle="Input"/>
    <tableColumn id="7" xr3:uid="{0CE08178-B5EB-4A5F-91C9-432DC21C7652}" name="Category " dataCellStyle="Input"/>
    <tableColumn id="8" xr3:uid="{AF13ADDA-5728-48D5-AA4A-513D4F389A52}" name="Sales" dataDxfId="23" dataCellStyle="Input"/>
    <tableColumn id="9" xr3:uid="{7C48B1BD-90A9-416C-B67E-6E8DD1B0BDB0}" name="Tax" dataDxfId="22" dataCellStyle="Calculation">
      <calculatedColumnFormula>H5*Sales_Tax</calculatedColumnFormula>
    </tableColumn>
    <tableColumn id="10" xr3:uid="{D3E602F4-8E24-4394-8F33-E46A18A81BC8}" name="Total" dataDxfId="21" dataCellStyle="Calculation">
      <calculatedColumnFormula>Table134[[#This Row],[Sales]]+Table134[[#This Row],[Tax]]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639D62-15B8-4A4E-859D-5F4145D53855}" name="Table135" displayName="Table135" ref="A4:J26" totalsRowShown="0" headerRowDxfId="10">
  <autoFilter ref="A4:J26" xr:uid="{B9639D62-15B8-4A4E-859D-5F4145D53855}"/>
  <tableColumns count="10">
    <tableColumn id="1" xr3:uid="{65171D79-2CC3-4DBB-9EFF-95900BC31C62}" name="Month" dataDxfId="9"/>
    <tableColumn id="2" xr3:uid="{95AD8427-9A39-497B-9792-F5B5E921DAB2}" name="Store" dataDxfId="8"/>
    <tableColumn id="3" xr3:uid="{E650150A-A63F-4083-8CFE-FEEC5C3E9D1D}" name="Town" dataDxfId="7"/>
    <tableColumn id="4" xr3:uid="{6D36BA8F-34F5-4539-B050-A3DD98B8B019}" name="Store Code" dataDxfId="6"/>
    <tableColumn id="5" xr3:uid="{DDB0B0F7-B65D-4E6E-9C12-BE2C1C3DC4ED}" name="Country" dataDxfId="5"/>
    <tableColumn id="6" xr3:uid="{B414979B-F3B6-4E44-A6C5-CF4F436CA928}" name="Manager" dataDxfId="4"/>
    <tableColumn id="7" xr3:uid="{7A09B509-C0E7-45BA-BD35-986CD5E2101E}" name="Category " dataDxfId="3"/>
    <tableColumn id="8" xr3:uid="{51341573-81D5-4D73-8574-47AE4D03202E}" name="Sales" dataDxfId="2"/>
    <tableColumn id="9" xr3:uid="{9F7F5D07-C871-4BFA-B965-66226A9BF1EA}" name="Tax" dataDxfId="1">
      <calculatedColumnFormula>H5*Sales_Tax</calculatedColumnFormula>
    </tableColumn>
    <tableColumn id="10" xr3:uid="{4EA0F43B-366D-4A36-9F56-E2487EBFAD53}" name="Total" dataDxfId="0">
      <calculatedColumnFormula>Table135[[#This Row],[Sales]]+Table135[[#This Row],[Tax]]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56C3-3A69-4EBF-9BF7-D5AE77C435AE}">
  <dimension ref="A1:B19"/>
  <sheetViews>
    <sheetView workbookViewId="0">
      <selection sqref="A1:XFD1"/>
    </sheetView>
  </sheetViews>
  <sheetFormatPr defaultRowHeight="15" x14ac:dyDescent="0.25"/>
  <cols>
    <col min="1" max="1" width="18" customWidth="1"/>
    <col min="2" max="2" width="54" customWidth="1"/>
  </cols>
  <sheetData>
    <row r="1" spans="1:2" s="34" customFormat="1" ht="23.25" customHeight="1" thickBot="1" x14ac:dyDescent="0.3">
      <c r="A1" s="34" t="s">
        <v>47</v>
      </c>
    </row>
    <row r="2" spans="1:2" ht="15.75" thickTop="1" x14ac:dyDescent="0.25"/>
    <row r="3" spans="1:2" ht="15.75" x14ac:dyDescent="0.25">
      <c r="A3" s="9" t="s">
        <v>48</v>
      </c>
      <c r="B3" s="10"/>
    </row>
    <row r="5" spans="1:2" ht="30" customHeight="1" x14ac:dyDescent="0.25">
      <c r="A5" s="6" t="s">
        <v>49</v>
      </c>
      <c r="B5" s="7" t="s">
        <v>53</v>
      </c>
    </row>
    <row r="6" spans="1:2" ht="30" customHeight="1" x14ac:dyDescent="0.25">
      <c r="A6" s="6" t="s">
        <v>50</v>
      </c>
      <c r="B6" s="8" t="s">
        <v>54</v>
      </c>
    </row>
    <row r="7" spans="1:2" ht="30" customHeight="1" x14ac:dyDescent="0.25">
      <c r="A7" s="6" t="s">
        <v>51</v>
      </c>
      <c r="B7" s="7" t="s">
        <v>55</v>
      </c>
    </row>
    <row r="8" spans="1:2" ht="30" customHeight="1" x14ac:dyDescent="0.25">
      <c r="A8" s="6" t="s">
        <v>52</v>
      </c>
      <c r="B8" s="7" t="s">
        <v>56</v>
      </c>
    </row>
    <row r="11" spans="1:2" ht="15.75" x14ac:dyDescent="0.25">
      <c r="A11" s="9" t="s">
        <v>57</v>
      </c>
    </row>
    <row r="13" spans="1:2" ht="20.25" thickBot="1" x14ac:dyDescent="0.35">
      <c r="A13" s="11" t="s">
        <v>58</v>
      </c>
    </row>
    <row r="14" spans="1:2" ht="19.5" thickTop="1" x14ac:dyDescent="0.3">
      <c r="A14" s="13" t="s">
        <v>59</v>
      </c>
    </row>
    <row r="15" spans="1:2" ht="18.75" x14ac:dyDescent="0.3">
      <c r="A15" s="14" t="s">
        <v>60</v>
      </c>
    </row>
    <row r="16" spans="1:2" ht="18.75" x14ac:dyDescent="0.3">
      <c r="A16" s="15" t="s">
        <v>61</v>
      </c>
    </row>
    <row r="19" spans="1:1" ht="15.75" x14ac:dyDescent="0.25">
      <c r="A19" s="9" t="s">
        <v>62</v>
      </c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O8" sqref="O8"/>
    </sheetView>
  </sheetViews>
  <sheetFormatPr defaultRowHeight="15" x14ac:dyDescent="0.25"/>
  <cols>
    <col min="2" max="2" width="11.42578125" bestFit="1" customWidth="1"/>
    <col min="4" max="4" width="12.85546875" customWidth="1"/>
    <col min="5" max="5" width="10.140625" customWidth="1"/>
    <col min="6" max="6" width="17.5703125" bestFit="1" customWidth="1"/>
    <col min="7" max="7" width="14.42578125" bestFit="1" customWidth="1"/>
    <col min="8" max="8" width="10.5703125" bestFit="1" customWidth="1"/>
    <col min="10" max="10" width="13.42578125" customWidth="1"/>
  </cols>
  <sheetData>
    <row r="1" spans="1:13" s="35" customFormat="1" ht="25.5" customHeight="1" x14ac:dyDescent="0.25">
      <c r="A1" s="35" t="s">
        <v>63</v>
      </c>
    </row>
    <row r="4" spans="1:13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L4" s="1" t="s">
        <v>11</v>
      </c>
      <c r="M4" s="4">
        <v>0.15</v>
      </c>
    </row>
    <row r="5" spans="1:13" x14ac:dyDescent="0.25">
      <c r="A5" s="2">
        <v>46023</v>
      </c>
      <c r="B5" t="s">
        <v>12</v>
      </c>
      <c r="C5" t="s">
        <v>14</v>
      </c>
      <c r="D5" t="s">
        <v>15</v>
      </c>
      <c r="E5" t="s">
        <v>16</v>
      </c>
      <c r="F5" t="s">
        <v>17</v>
      </c>
      <c r="G5" t="s">
        <v>39</v>
      </c>
      <c r="H5" s="3">
        <v>5</v>
      </c>
      <c r="I5" s="3">
        <f t="shared" ref="I5:I26" si="0">H5*Sales_Tax</f>
        <v>0.75</v>
      </c>
      <c r="J5" s="3">
        <f>Table1[[#This Row],[Sales]]+Table1[[#This Row],[Tax]]</f>
        <v>5.75</v>
      </c>
    </row>
    <row r="6" spans="1:13" x14ac:dyDescent="0.25">
      <c r="A6" s="2">
        <v>46023</v>
      </c>
      <c r="B6" t="s">
        <v>12</v>
      </c>
      <c r="C6" t="s">
        <v>14</v>
      </c>
      <c r="D6" t="s">
        <v>15</v>
      </c>
      <c r="E6" t="s">
        <v>16</v>
      </c>
      <c r="F6" t="s">
        <v>18</v>
      </c>
      <c r="G6" t="s">
        <v>40</v>
      </c>
      <c r="H6" s="3">
        <v>1794.12</v>
      </c>
      <c r="I6" s="3">
        <f t="shared" si="0"/>
        <v>269.11799999999999</v>
      </c>
      <c r="J6" s="3">
        <f>Table1[[#This Row],[Sales]]+Table1[[#This Row],[Tax]]</f>
        <v>2063.2379999999998</v>
      </c>
    </row>
    <row r="7" spans="1:13" x14ac:dyDescent="0.25">
      <c r="A7" s="2">
        <v>46023</v>
      </c>
      <c r="B7" t="s">
        <v>12</v>
      </c>
      <c r="C7" t="s">
        <v>14</v>
      </c>
      <c r="D7" t="s">
        <v>15</v>
      </c>
      <c r="E7" t="s">
        <v>16</v>
      </c>
      <c r="F7" t="s">
        <v>19</v>
      </c>
      <c r="G7" t="s">
        <v>41</v>
      </c>
      <c r="H7" s="3">
        <v>1000</v>
      </c>
      <c r="I7" s="3">
        <f t="shared" si="0"/>
        <v>150</v>
      </c>
      <c r="J7" s="3">
        <f>Table1[[#This Row],[Sales]]+Table1[[#This Row],[Tax]]</f>
        <v>1150</v>
      </c>
    </row>
    <row r="8" spans="1:13" x14ac:dyDescent="0.25">
      <c r="A8" s="2">
        <v>46023</v>
      </c>
      <c r="B8" t="s">
        <v>13</v>
      </c>
      <c r="C8" t="s">
        <v>14</v>
      </c>
      <c r="D8" t="s">
        <v>15</v>
      </c>
      <c r="E8" t="s">
        <v>16</v>
      </c>
      <c r="F8" t="s">
        <v>20</v>
      </c>
      <c r="G8" t="s">
        <v>42</v>
      </c>
      <c r="H8" s="3">
        <v>298.32</v>
      </c>
      <c r="I8" s="3">
        <f t="shared" si="0"/>
        <v>44.747999999999998</v>
      </c>
      <c r="J8" s="3">
        <f>Table1[[#This Row],[Sales]]+Table1[[#This Row],[Tax]]</f>
        <v>343.06799999999998</v>
      </c>
    </row>
    <row r="9" spans="1:13" x14ac:dyDescent="0.25">
      <c r="A9" s="2">
        <v>46023</v>
      </c>
      <c r="B9" t="s">
        <v>12</v>
      </c>
      <c r="C9" t="s">
        <v>14</v>
      </c>
      <c r="D9" t="s">
        <v>15</v>
      </c>
      <c r="E9" t="s">
        <v>16</v>
      </c>
      <c r="F9" t="s">
        <v>21</v>
      </c>
      <c r="G9" t="s">
        <v>43</v>
      </c>
      <c r="H9" s="3">
        <v>183.25</v>
      </c>
      <c r="I9" s="3">
        <f t="shared" si="0"/>
        <v>27.487500000000001</v>
      </c>
      <c r="J9" s="3">
        <f>Table1[[#This Row],[Sales]]+Table1[[#This Row],[Tax]]</f>
        <v>210.73750000000001</v>
      </c>
    </row>
    <row r="10" spans="1:13" x14ac:dyDescent="0.25">
      <c r="A10" s="2">
        <v>46023</v>
      </c>
      <c r="B10" t="s">
        <v>12</v>
      </c>
      <c r="C10" t="s">
        <v>14</v>
      </c>
      <c r="D10" t="s">
        <v>15</v>
      </c>
      <c r="E10" t="s">
        <v>16</v>
      </c>
      <c r="F10" t="s">
        <v>22</v>
      </c>
      <c r="G10" t="s">
        <v>40</v>
      </c>
      <c r="H10" s="3">
        <v>1693.79</v>
      </c>
      <c r="I10" s="3">
        <f t="shared" si="0"/>
        <v>254.06849999999997</v>
      </c>
      <c r="J10" s="3">
        <f>Table1[[#This Row],[Sales]]+Table1[[#This Row],[Tax]]</f>
        <v>1947.8584999999998</v>
      </c>
    </row>
    <row r="11" spans="1:13" x14ac:dyDescent="0.25">
      <c r="A11" s="2">
        <v>46023</v>
      </c>
      <c r="B11" t="s">
        <v>13</v>
      </c>
      <c r="C11" t="s">
        <v>14</v>
      </c>
      <c r="D11" t="s">
        <v>15</v>
      </c>
      <c r="E11" t="s">
        <v>16</v>
      </c>
      <c r="F11" t="s">
        <v>23</v>
      </c>
      <c r="G11" t="s">
        <v>44</v>
      </c>
      <c r="H11" s="3">
        <v>30</v>
      </c>
      <c r="I11" s="3">
        <f t="shared" si="0"/>
        <v>4.5</v>
      </c>
      <c r="J11" s="3">
        <f>Table1[[#This Row],[Sales]]+Table1[[#This Row],[Tax]]</f>
        <v>34.5</v>
      </c>
    </row>
    <row r="12" spans="1:13" x14ac:dyDescent="0.25">
      <c r="A12" s="2">
        <v>46023</v>
      </c>
      <c r="B12" t="s">
        <v>13</v>
      </c>
      <c r="C12" t="s">
        <v>14</v>
      </c>
      <c r="D12" t="s">
        <v>15</v>
      </c>
      <c r="E12" t="s">
        <v>16</v>
      </c>
      <c r="F12" t="s">
        <v>24</v>
      </c>
      <c r="G12" t="s">
        <v>39</v>
      </c>
      <c r="H12" s="3">
        <v>12</v>
      </c>
      <c r="I12" s="3">
        <f t="shared" si="0"/>
        <v>1.7999999999999998</v>
      </c>
      <c r="J12" s="3">
        <f>Table1[[#This Row],[Sales]]+Table1[[#This Row],[Tax]]</f>
        <v>13.8</v>
      </c>
    </row>
    <row r="13" spans="1:13" x14ac:dyDescent="0.25">
      <c r="A13" s="2">
        <v>46023</v>
      </c>
      <c r="B13" t="s">
        <v>12</v>
      </c>
      <c r="C13" t="s">
        <v>14</v>
      </c>
      <c r="D13" t="s">
        <v>15</v>
      </c>
      <c r="E13" t="s">
        <v>16</v>
      </c>
      <c r="F13" t="s">
        <v>25</v>
      </c>
      <c r="G13" t="s">
        <v>43</v>
      </c>
      <c r="H13" s="3">
        <v>1085.08</v>
      </c>
      <c r="I13" s="3">
        <f t="shared" si="0"/>
        <v>162.76199999999997</v>
      </c>
      <c r="J13" s="3">
        <f>Table1[[#This Row],[Sales]]+Table1[[#This Row],[Tax]]</f>
        <v>1247.8419999999999</v>
      </c>
    </row>
    <row r="14" spans="1:13" x14ac:dyDescent="0.25">
      <c r="A14" s="2">
        <v>46023</v>
      </c>
      <c r="B14" t="s">
        <v>13</v>
      </c>
      <c r="C14" t="s">
        <v>14</v>
      </c>
      <c r="D14" t="s">
        <v>15</v>
      </c>
      <c r="E14" t="s">
        <v>16</v>
      </c>
      <c r="F14" t="s">
        <v>26</v>
      </c>
      <c r="G14" t="s">
        <v>44</v>
      </c>
      <c r="H14" s="3">
        <v>10</v>
      </c>
      <c r="I14" s="3">
        <f t="shared" si="0"/>
        <v>1.5</v>
      </c>
      <c r="J14" s="3">
        <f>Table1[[#This Row],[Sales]]+Table1[[#This Row],[Tax]]</f>
        <v>11.5</v>
      </c>
    </row>
    <row r="15" spans="1:13" x14ac:dyDescent="0.25">
      <c r="A15" s="2">
        <v>46023</v>
      </c>
      <c r="B15" t="s">
        <v>13</v>
      </c>
      <c r="C15" t="s">
        <v>14</v>
      </c>
      <c r="D15" t="s">
        <v>15</v>
      </c>
      <c r="E15" t="s">
        <v>16</v>
      </c>
      <c r="F15" t="s">
        <v>27</v>
      </c>
      <c r="G15" t="s">
        <v>44</v>
      </c>
      <c r="H15" s="3">
        <v>173.53</v>
      </c>
      <c r="I15" s="3">
        <f t="shared" si="0"/>
        <v>26.029499999999999</v>
      </c>
      <c r="J15" s="3">
        <f>Table1[[#This Row],[Sales]]+Table1[[#This Row],[Tax]]</f>
        <v>199.55950000000001</v>
      </c>
    </row>
    <row r="16" spans="1:13" x14ac:dyDescent="0.25">
      <c r="A16" s="2">
        <v>46023</v>
      </c>
      <c r="B16" t="s">
        <v>13</v>
      </c>
      <c r="C16" t="s">
        <v>14</v>
      </c>
      <c r="D16" t="s">
        <v>15</v>
      </c>
      <c r="E16" t="s">
        <v>16</v>
      </c>
      <c r="F16" t="s">
        <v>28</v>
      </c>
      <c r="G16" t="s">
        <v>44</v>
      </c>
      <c r="H16" s="3">
        <v>3</v>
      </c>
      <c r="I16" s="3">
        <f t="shared" si="0"/>
        <v>0.44999999999999996</v>
      </c>
      <c r="J16" s="3">
        <f>Table1[[#This Row],[Sales]]+Table1[[#This Row],[Tax]]</f>
        <v>3.45</v>
      </c>
    </row>
    <row r="17" spans="1:10" x14ac:dyDescent="0.25">
      <c r="A17" s="2">
        <v>46023</v>
      </c>
      <c r="B17" t="s">
        <v>13</v>
      </c>
      <c r="C17" t="s">
        <v>14</v>
      </c>
      <c r="D17" t="s">
        <v>15</v>
      </c>
      <c r="E17" t="s">
        <v>16</v>
      </c>
      <c r="F17" t="s">
        <v>29</v>
      </c>
      <c r="G17" t="s">
        <v>44</v>
      </c>
      <c r="H17" s="3">
        <v>200</v>
      </c>
      <c r="I17" s="3">
        <f t="shared" si="0"/>
        <v>30</v>
      </c>
      <c r="J17" s="3">
        <f>Table1[[#This Row],[Sales]]+Table1[[#This Row],[Tax]]</f>
        <v>230</v>
      </c>
    </row>
    <row r="18" spans="1:10" x14ac:dyDescent="0.25">
      <c r="A18" s="2">
        <v>46023</v>
      </c>
      <c r="B18" t="s">
        <v>12</v>
      </c>
      <c r="C18" t="s">
        <v>14</v>
      </c>
      <c r="D18" t="s">
        <v>15</v>
      </c>
      <c r="E18" t="s">
        <v>16</v>
      </c>
      <c r="F18" t="s">
        <v>30</v>
      </c>
      <c r="G18" t="s">
        <v>43</v>
      </c>
      <c r="H18" s="3">
        <v>748.93</v>
      </c>
      <c r="I18" s="3">
        <f t="shared" si="0"/>
        <v>112.33949999999999</v>
      </c>
      <c r="J18" s="3">
        <f>Table1[[#This Row],[Sales]]+Table1[[#This Row],[Tax]]</f>
        <v>861.26949999999988</v>
      </c>
    </row>
    <row r="19" spans="1:10" x14ac:dyDescent="0.25">
      <c r="A19" s="2">
        <v>46023</v>
      </c>
      <c r="B19" t="s">
        <v>13</v>
      </c>
      <c r="C19" t="s">
        <v>14</v>
      </c>
      <c r="D19" t="s">
        <v>15</v>
      </c>
      <c r="E19" t="s">
        <v>16</v>
      </c>
      <c r="F19" t="s">
        <v>31</v>
      </c>
      <c r="G19" t="s">
        <v>45</v>
      </c>
      <c r="H19" s="3">
        <v>26.78</v>
      </c>
      <c r="I19" s="3">
        <f t="shared" si="0"/>
        <v>4.0170000000000003</v>
      </c>
      <c r="J19" s="3">
        <f>Table1[[#This Row],[Sales]]+Table1[[#This Row],[Tax]]</f>
        <v>30.797000000000001</v>
      </c>
    </row>
    <row r="20" spans="1:10" x14ac:dyDescent="0.25">
      <c r="A20" s="2">
        <v>46023</v>
      </c>
      <c r="B20" t="s">
        <v>13</v>
      </c>
      <c r="C20" t="s">
        <v>14</v>
      </c>
      <c r="D20" t="s">
        <v>15</v>
      </c>
      <c r="E20" t="s">
        <v>16</v>
      </c>
      <c r="F20" t="s">
        <v>32</v>
      </c>
      <c r="G20" t="s">
        <v>45</v>
      </c>
      <c r="H20" s="3">
        <v>38.020000000000003</v>
      </c>
      <c r="I20" s="3">
        <f t="shared" si="0"/>
        <v>5.7030000000000003</v>
      </c>
      <c r="J20" s="3">
        <f>Table1[[#This Row],[Sales]]+Table1[[#This Row],[Tax]]</f>
        <v>43.723000000000006</v>
      </c>
    </row>
    <row r="21" spans="1:10" x14ac:dyDescent="0.25">
      <c r="A21" s="2">
        <v>46023</v>
      </c>
      <c r="B21" t="s">
        <v>13</v>
      </c>
      <c r="C21" t="s">
        <v>14</v>
      </c>
      <c r="D21" t="s">
        <v>15</v>
      </c>
      <c r="E21" t="s">
        <v>16</v>
      </c>
      <c r="F21" t="s">
        <v>33</v>
      </c>
      <c r="G21" t="s">
        <v>46</v>
      </c>
      <c r="H21" s="3">
        <v>332.14</v>
      </c>
      <c r="I21" s="3">
        <f t="shared" si="0"/>
        <v>49.820999999999998</v>
      </c>
      <c r="J21" s="3">
        <f>Table1[[#This Row],[Sales]]+Table1[[#This Row],[Tax]]</f>
        <v>381.96100000000001</v>
      </c>
    </row>
    <row r="22" spans="1:10" x14ac:dyDescent="0.25">
      <c r="A22" s="2">
        <v>46023</v>
      </c>
      <c r="B22" t="s">
        <v>13</v>
      </c>
      <c r="C22" t="s">
        <v>14</v>
      </c>
      <c r="D22" t="s">
        <v>15</v>
      </c>
      <c r="E22" t="s">
        <v>16</v>
      </c>
      <c r="F22" t="s">
        <v>34</v>
      </c>
      <c r="G22" t="s">
        <v>43</v>
      </c>
      <c r="H22" s="3">
        <v>77.959999999999994</v>
      </c>
      <c r="I22" s="3">
        <f t="shared" si="0"/>
        <v>11.693999999999999</v>
      </c>
      <c r="J22" s="3">
        <f>Table1[[#This Row],[Sales]]+Table1[[#This Row],[Tax]]</f>
        <v>89.653999999999996</v>
      </c>
    </row>
    <row r="23" spans="1:10" x14ac:dyDescent="0.25">
      <c r="A23" s="2">
        <v>46023</v>
      </c>
      <c r="B23" t="s">
        <v>13</v>
      </c>
      <c r="C23" t="s">
        <v>14</v>
      </c>
      <c r="D23" t="s">
        <v>15</v>
      </c>
      <c r="E23" t="s">
        <v>16</v>
      </c>
      <c r="F23" t="s">
        <v>35</v>
      </c>
      <c r="G23" t="s">
        <v>41</v>
      </c>
      <c r="H23" s="3">
        <v>152.94</v>
      </c>
      <c r="I23" s="3">
        <f t="shared" si="0"/>
        <v>22.940999999999999</v>
      </c>
      <c r="J23" s="3">
        <f>Table1[[#This Row],[Sales]]+Table1[[#This Row],[Tax]]</f>
        <v>175.881</v>
      </c>
    </row>
    <row r="24" spans="1:10" x14ac:dyDescent="0.25">
      <c r="A24" s="2">
        <v>46023</v>
      </c>
      <c r="B24" t="s">
        <v>12</v>
      </c>
      <c r="C24" t="s">
        <v>14</v>
      </c>
      <c r="D24" t="s">
        <v>15</v>
      </c>
      <c r="E24" t="s">
        <v>16</v>
      </c>
      <c r="F24" t="s">
        <v>36</v>
      </c>
      <c r="G24" t="s">
        <v>46</v>
      </c>
      <c r="H24" s="3">
        <v>681.33</v>
      </c>
      <c r="I24" s="3">
        <f t="shared" si="0"/>
        <v>102.1995</v>
      </c>
      <c r="J24" s="3">
        <f>Table1[[#This Row],[Sales]]+Table1[[#This Row],[Tax]]</f>
        <v>783.5295000000001</v>
      </c>
    </row>
    <row r="25" spans="1:10" x14ac:dyDescent="0.25">
      <c r="A25" s="2">
        <v>46023</v>
      </c>
      <c r="B25" t="s">
        <v>12</v>
      </c>
      <c r="C25" t="s">
        <v>14</v>
      </c>
      <c r="D25" t="s">
        <v>15</v>
      </c>
      <c r="E25" t="s">
        <v>16</v>
      </c>
      <c r="F25" t="s">
        <v>37</v>
      </c>
      <c r="G25" t="s">
        <v>42</v>
      </c>
      <c r="H25" s="3">
        <v>15.89</v>
      </c>
      <c r="I25" s="3">
        <f t="shared" si="0"/>
        <v>2.3835000000000002</v>
      </c>
      <c r="J25" s="3">
        <f>Table1[[#This Row],[Sales]]+Table1[[#This Row],[Tax]]</f>
        <v>18.273500000000002</v>
      </c>
    </row>
    <row r="26" spans="1:10" x14ac:dyDescent="0.25">
      <c r="A26" s="2">
        <v>46023</v>
      </c>
      <c r="B26" t="s">
        <v>13</v>
      </c>
      <c r="C26" t="s">
        <v>14</v>
      </c>
      <c r="D26" t="s">
        <v>15</v>
      </c>
      <c r="E26" t="s">
        <v>16</v>
      </c>
      <c r="F26" t="s">
        <v>38</v>
      </c>
      <c r="G26" t="s">
        <v>42</v>
      </c>
      <c r="H26" s="3">
        <v>261.35000000000002</v>
      </c>
      <c r="I26" s="3">
        <f t="shared" si="0"/>
        <v>39.202500000000001</v>
      </c>
      <c r="J26" s="3">
        <f>Table1[[#This Row],[Sales]]+Table1[[#This Row],[Tax]]</f>
        <v>300.55250000000001</v>
      </c>
    </row>
  </sheetData>
  <mergeCells count="1">
    <mergeCell ref="A1:XFD1"/>
  </mergeCells>
  <phoneticPr fontId="9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9430-A23C-4B47-ABAA-476569B3ECFB}">
  <dimension ref="A1:M26"/>
  <sheetViews>
    <sheetView workbookViewId="0">
      <selection activeCell="J2" sqref="J2"/>
    </sheetView>
  </sheetViews>
  <sheetFormatPr defaultRowHeight="15" x14ac:dyDescent="0.25"/>
  <cols>
    <col min="4" max="4" width="13" bestFit="1" customWidth="1"/>
    <col min="6" max="6" width="17.5703125" bestFit="1" customWidth="1"/>
    <col min="7" max="7" width="14.42578125" bestFit="1" customWidth="1"/>
    <col min="8" max="8" width="10.5703125" bestFit="1" customWidth="1"/>
    <col min="10" max="10" width="10.5703125" bestFit="1" customWidth="1"/>
  </cols>
  <sheetData>
    <row r="1" spans="1:13" s="35" customFormat="1" ht="25.5" customHeight="1" x14ac:dyDescent="0.25">
      <c r="A1" s="35" t="s">
        <v>0</v>
      </c>
    </row>
    <row r="2" spans="1:13" ht="21.75" customHeight="1" x14ac:dyDescent="0.25"/>
    <row r="4" spans="1:13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L4" s="1" t="s">
        <v>11</v>
      </c>
      <c r="M4" s="4">
        <v>0.15</v>
      </c>
    </row>
    <row r="5" spans="1:13" x14ac:dyDescent="0.25">
      <c r="A5" s="2">
        <v>46023</v>
      </c>
      <c r="B5" t="s">
        <v>12</v>
      </c>
      <c r="C5" t="s">
        <v>14</v>
      </c>
      <c r="D5" t="s">
        <v>15</v>
      </c>
      <c r="E5" t="s">
        <v>16</v>
      </c>
      <c r="F5" t="s">
        <v>17</v>
      </c>
      <c r="G5" t="s">
        <v>39</v>
      </c>
      <c r="H5" s="3">
        <v>5</v>
      </c>
      <c r="I5" s="3">
        <f t="shared" ref="I5:I26" si="0">H5*Sales_Tax</f>
        <v>0.75</v>
      </c>
      <c r="J5" s="3">
        <f>Table13[[#This Row],[Sales]]+Table13[[#This Row],[Tax]]</f>
        <v>5.75</v>
      </c>
    </row>
    <row r="6" spans="1:13" x14ac:dyDescent="0.25">
      <c r="A6" s="2">
        <v>46023</v>
      </c>
      <c r="B6" t="s">
        <v>12</v>
      </c>
      <c r="C6" t="s">
        <v>14</v>
      </c>
      <c r="D6" t="s">
        <v>15</v>
      </c>
      <c r="E6" t="s">
        <v>16</v>
      </c>
      <c r="F6" t="s">
        <v>18</v>
      </c>
      <c r="G6" t="s">
        <v>40</v>
      </c>
      <c r="H6" s="3">
        <v>1794.12</v>
      </c>
      <c r="I6" s="3">
        <f t="shared" si="0"/>
        <v>269.11799999999999</v>
      </c>
      <c r="J6" s="3">
        <f>Table13[[#This Row],[Sales]]+Table13[[#This Row],[Tax]]</f>
        <v>2063.2379999999998</v>
      </c>
    </row>
    <row r="7" spans="1:13" x14ac:dyDescent="0.25">
      <c r="A7" s="2">
        <v>46023</v>
      </c>
      <c r="B7" t="s">
        <v>12</v>
      </c>
      <c r="C7" t="s">
        <v>14</v>
      </c>
      <c r="D7" t="s">
        <v>15</v>
      </c>
      <c r="E7" t="s">
        <v>16</v>
      </c>
      <c r="F7" t="s">
        <v>19</v>
      </c>
      <c r="G7" t="s">
        <v>41</v>
      </c>
      <c r="H7" s="3">
        <v>1000</v>
      </c>
      <c r="I7" s="3">
        <f t="shared" si="0"/>
        <v>150</v>
      </c>
      <c r="J7" s="3">
        <f>Table13[[#This Row],[Sales]]+Table13[[#This Row],[Tax]]</f>
        <v>1150</v>
      </c>
    </row>
    <row r="8" spans="1:13" x14ac:dyDescent="0.25">
      <c r="A8" s="2">
        <v>46023</v>
      </c>
      <c r="B8" t="s">
        <v>13</v>
      </c>
      <c r="C8" t="s">
        <v>14</v>
      </c>
      <c r="D8" t="s">
        <v>15</v>
      </c>
      <c r="E8" t="s">
        <v>16</v>
      </c>
      <c r="F8" t="s">
        <v>20</v>
      </c>
      <c r="G8" t="s">
        <v>42</v>
      </c>
      <c r="H8" s="3">
        <v>298.32</v>
      </c>
      <c r="I8" s="3">
        <f t="shared" si="0"/>
        <v>44.747999999999998</v>
      </c>
      <c r="J8" s="3">
        <f>Table13[[#This Row],[Sales]]+Table13[[#This Row],[Tax]]</f>
        <v>343.06799999999998</v>
      </c>
    </row>
    <row r="9" spans="1:13" x14ac:dyDescent="0.25">
      <c r="A9" s="2">
        <v>46023</v>
      </c>
      <c r="B9" t="s">
        <v>12</v>
      </c>
      <c r="C9" t="s">
        <v>14</v>
      </c>
      <c r="D9" t="s">
        <v>15</v>
      </c>
      <c r="E9" t="s">
        <v>16</v>
      </c>
      <c r="F9" t="s">
        <v>21</v>
      </c>
      <c r="G9" t="s">
        <v>43</v>
      </c>
      <c r="H9" s="3">
        <v>183.25</v>
      </c>
      <c r="I9" s="3">
        <f t="shared" si="0"/>
        <v>27.487500000000001</v>
      </c>
      <c r="J9" s="3">
        <f>Table13[[#This Row],[Sales]]+Table13[[#This Row],[Tax]]</f>
        <v>210.73750000000001</v>
      </c>
    </row>
    <row r="10" spans="1:13" x14ac:dyDescent="0.25">
      <c r="A10" s="2">
        <v>46023</v>
      </c>
      <c r="B10" t="s">
        <v>12</v>
      </c>
      <c r="C10" t="s">
        <v>14</v>
      </c>
      <c r="D10" t="s">
        <v>15</v>
      </c>
      <c r="E10" t="s">
        <v>16</v>
      </c>
      <c r="F10" t="s">
        <v>22</v>
      </c>
      <c r="G10" t="s">
        <v>40</v>
      </c>
      <c r="H10" s="3">
        <v>1693.79</v>
      </c>
      <c r="I10" s="3">
        <f t="shared" si="0"/>
        <v>254.06849999999997</v>
      </c>
      <c r="J10" s="3">
        <f>Table13[[#This Row],[Sales]]+Table13[[#This Row],[Tax]]</f>
        <v>1947.8584999999998</v>
      </c>
    </row>
    <row r="11" spans="1:13" x14ac:dyDescent="0.25">
      <c r="A11" s="2">
        <v>46023</v>
      </c>
      <c r="B11" t="s">
        <v>13</v>
      </c>
      <c r="C11" t="s">
        <v>14</v>
      </c>
      <c r="D11" t="s">
        <v>15</v>
      </c>
      <c r="E11" t="s">
        <v>16</v>
      </c>
      <c r="F11" t="s">
        <v>23</v>
      </c>
      <c r="G11" t="s">
        <v>44</v>
      </c>
      <c r="H11" s="3">
        <v>30</v>
      </c>
      <c r="I11" s="3">
        <f t="shared" si="0"/>
        <v>4.5</v>
      </c>
      <c r="J11" s="3">
        <f>Table13[[#This Row],[Sales]]+Table13[[#This Row],[Tax]]</f>
        <v>34.5</v>
      </c>
    </row>
    <row r="12" spans="1:13" x14ac:dyDescent="0.25">
      <c r="A12" s="2">
        <v>46023</v>
      </c>
      <c r="B12" t="s">
        <v>13</v>
      </c>
      <c r="C12" t="s">
        <v>14</v>
      </c>
      <c r="D12" t="s">
        <v>15</v>
      </c>
      <c r="E12" t="s">
        <v>16</v>
      </c>
      <c r="F12" t="s">
        <v>24</v>
      </c>
      <c r="G12" t="s">
        <v>39</v>
      </c>
      <c r="H12" s="3">
        <v>12</v>
      </c>
      <c r="I12" s="3">
        <f t="shared" si="0"/>
        <v>1.7999999999999998</v>
      </c>
      <c r="J12" s="3">
        <f>Table13[[#This Row],[Sales]]+Table13[[#This Row],[Tax]]</f>
        <v>13.8</v>
      </c>
    </row>
    <row r="13" spans="1:13" x14ac:dyDescent="0.25">
      <c r="A13" s="2">
        <v>46023</v>
      </c>
      <c r="B13" t="s">
        <v>12</v>
      </c>
      <c r="C13" t="s">
        <v>14</v>
      </c>
      <c r="D13" t="s">
        <v>15</v>
      </c>
      <c r="E13" t="s">
        <v>16</v>
      </c>
      <c r="F13" t="s">
        <v>25</v>
      </c>
      <c r="G13" t="s">
        <v>43</v>
      </c>
      <c r="H13" s="3">
        <v>1085.08</v>
      </c>
      <c r="I13" s="3">
        <f t="shared" si="0"/>
        <v>162.76199999999997</v>
      </c>
      <c r="J13" s="3">
        <f>Table13[[#This Row],[Sales]]+Table13[[#This Row],[Tax]]</f>
        <v>1247.8419999999999</v>
      </c>
    </row>
    <row r="14" spans="1:13" x14ac:dyDescent="0.25">
      <c r="A14" s="2">
        <v>46023</v>
      </c>
      <c r="B14" t="s">
        <v>13</v>
      </c>
      <c r="C14" t="s">
        <v>14</v>
      </c>
      <c r="D14" t="s">
        <v>15</v>
      </c>
      <c r="E14" t="s">
        <v>16</v>
      </c>
      <c r="F14" t="s">
        <v>26</v>
      </c>
      <c r="G14" t="s">
        <v>44</v>
      </c>
      <c r="H14" s="3">
        <v>10</v>
      </c>
      <c r="I14" s="3">
        <f t="shared" si="0"/>
        <v>1.5</v>
      </c>
      <c r="J14" s="3">
        <f>Table13[[#This Row],[Sales]]+Table13[[#This Row],[Tax]]</f>
        <v>11.5</v>
      </c>
    </row>
    <row r="15" spans="1:13" x14ac:dyDescent="0.25">
      <c r="A15" s="2">
        <v>46023</v>
      </c>
      <c r="B15" t="s">
        <v>13</v>
      </c>
      <c r="C15" t="s">
        <v>14</v>
      </c>
      <c r="D15" t="s">
        <v>15</v>
      </c>
      <c r="E15" t="s">
        <v>16</v>
      </c>
      <c r="F15" t="s">
        <v>27</v>
      </c>
      <c r="G15" t="s">
        <v>44</v>
      </c>
      <c r="H15" s="3">
        <v>173.53</v>
      </c>
      <c r="I15" s="3">
        <f t="shared" si="0"/>
        <v>26.029499999999999</v>
      </c>
      <c r="J15" s="3">
        <f>Table13[[#This Row],[Sales]]+Table13[[#This Row],[Tax]]</f>
        <v>199.55950000000001</v>
      </c>
    </row>
    <row r="16" spans="1:13" x14ac:dyDescent="0.25">
      <c r="A16" s="2">
        <v>46023</v>
      </c>
      <c r="B16" t="s">
        <v>13</v>
      </c>
      <c r="C16" t="s">
        <v>14</v>
      </c>
      <c r="D16" t="s">
        <v>15</v>
      </c>
      <c r="E16" t="s">
        <v>16</v>
      </c>
      <c r="F16" t="s">
        <v>28</v>
      </c>
      <c r="G16" t="s">
        <v>44</v>
      </c>
      <c r="H16" s="3">
        <v>3</v>
      </c>
      <c r="I16" s="3">
        <f t="shared" si="0"/>
        <v>0.44999999999999996</v>
      </c>
      <c r="J16" s="3">
        <f>Table13[[#This Row],[Sales]]+Table13[[#This Row],[Tax]]</f>
        <v>3.45</v>
      </c>
    </row>
    <row r="17" spans="1:10" x14ac:dyDescent="0.25">
      <c r="A17" s="2">
        <v>46023</v>
      </c>
      <c r="B17" t="s">
        <v>13</v>
      </c>
      <c r="C17" t="s">
        <v>14</v>
      </c>
      <c r="D17" t="s">
        <v>15</v>
      </c>
      <c r="E17" t="s">
        <v>16</v>
      </c>
      <c r="F17" t="s">
        <v>29</v>
      </c>
      <c r="G17" t="s">
        <v>44</v>
      </c>
      <c r="H17" s="3">
        <v>200</v>
      </c>
      <c r="I17" s="3">
        <f t="shared" si="0"/>
        <v>30</v>
      </c>
      <c r="J17" s="3">
        <f>Table13[[#This Row],[Sales]]+Table13[[#This Row],[Tax]]</f>
        <v>230</v>
      </c>
    </row>
    <row r="18" spans="1:10" x14ac:dyDescent="0.25">
      <c r="A18" s="2">
        <v>46023</v>
      </c>
      <c r="B18" t="s">
        <v>12</v>
      </c>
      <c r="C18" t="s">
        <v>14</v>
      </c>
      <c r="D18" t="s">
        <v>15</v>
      </c>
      <c r="E18" t="s">
        <v>16</v>
      </c>
      <c r="F18" t="s">
        <v>30</v>
      </c>
      <c r="G18" t="s">
        <v>43</v>
      </c>
      <c r="H18" s="3">
        <v>748.93</v>
      </c>
      <c r="I18" s="3">
        <f t="shared" si="0"/>
        <v>112.33949999999999</v>
      </c>
      <c r="J18" s="3">
        <f>Table13[[#This Row],[Sales]]+Table13[[#This Row],[Tax]]</f>
        <v>861.26949999999988</v>
      </c>
    </row>
    <row r="19" spans="1:10" x14ac:dyDescent="0.25">
      <c r="A19" s="2">
        <v>46023</v>
      </c>
      <c r="B19" t="s">
        <v>13</v>
      </c>
      <c r="C19" t="s">
        <v>14</v>
      </c>
      <c r="D19" t="s">
        <v>15</v>
      </c>
      <c r="E19" t="s">
        <v>16</v>
      </c>
      <c r="F19" t="s">
        <v>31</v>
      </c>
      <c r="G19" t="s">
        <v>45</v>
      </c>
      <c r="H19" s="3">
        <v>26.78</v>
      </c>
      <c r="I19" s="3">
        <f t="shared" si="0"/>
        <v>4.0170000000000003</v>
      </c>
      <c r="J19" s="3">
        <f>Table13[[#This Row],[Sales]]+Table13[[#This Row],[Tax]]</f>
        <v>30.797000000000001</v>
      </c>
    </row>
    <row r="20" spans="1:10" x14ac:dyDescent="0.25">
      <c r="A20" s="2">
        <v>46023</v>
      </c>
      <c r="B20" t="s">
        <v>13</v>
      </c>
      <c r="C20" t="s">
        <v>14</v>
      </c>
      <c r="D20" t="s">
        <v>15</v>
      </c>
      <c r="E20" t="s">
        <v>16</v>
      </c>
      <c r="F20" t="s">
        <v>32</v>
      </c>
      <c r="G20" t="s">
        <v>45</v>
      </c>
      <c r="H20" s="3">
        <v>38.020000000000003</v>
      </c>
      <c r="I20" s="3">
        <f t="shared" si="0"/>
        <v>5.7030000000000003</v>
      </c>
      <c r="J20" s="3">
        <f>Table13[[#This Row],[Sales]]+Table13[[#This Row],[Tax]]</f>
        <v>43.723000000000006</v>
      </c>
    </row>
    <row r="21" spans="1:10" x14ac:dyDescent="0.25">
      <c r="A21" s="2">
        <v>46023</v>
      </c>
      <c r="B21" t="s">
        <v>13</v>
      </c>
      <c r="C21" t="s">
        <v>14</v>
      </c>
      <c r="D21" t="s">
        <v>15</v>
      </c>
      <c r="E21" t="s">
        <v>16</v>
      </c>
      <c r="F21" t="s">
        <v>33</v>
      </c>
      <c r="G21" t="s">
        <v>46</v>
      </c>
      <c r="H21" s="3">
        <v>332.14</v>
      </c>
      <c r="I21" s="3">
        <f t="shared" si="0"/>
        <v>49.820999999999998</v>
      </c>
      <c r="J21" s="3">
        <f>Table13[[#This Row],[Sales]]+Table13[[#This Row],[Tax]]</f>
        <v>381.96100000000001</v>
      </c>
    </row>
    <row r="22" spans="1:10" x14ac:dyDescent="0.25">
      <c r="A22" s="2">
        <v>46023</v>
      </c>
      <c r="B22" t="s">
        <v>13</v>
      </c>
      <c r="C22" t="s">
        <v>14</v>
      </c>
      <c r="D22" t="s">
        <v>15</v>
      </c>
      <c r="E22" t="s">
        <v>16</v>
      </c>
      <c r="F22" t="s">
        <v>34</v>
      </c>
      <c r="G22" t="s">
        <v>43</v>
      </c>
      <c r="H22" s="3">
        <v>77.959999999999994</v>
      </c>
      <c r="I22" s="3">
        <f t="shared" si="0"/>
        <v>11.693999999999999</v>
      </c>
      <c r="J22" s="3">
        <f>Table13[[#This Row],[Sales]]+Table13[[#This Row],[Tax]]</f>
        <v>89.653999999999996</v>
      </c>
    </row>
    <row r="23" spans="1:10" x14ac:dyDescent="0.25">
      <c r="A23" s="2">
        <v>46023</v>
      </c>
      <c r="B23" t="s">
        <v>13</v>
      </c>
      <c r="C23" t="s">
        <v>14</v>
      </c>
      <c r="D23" t="s">
        <v>15</v>
      </c>
      <c r="E23" t="s">
        <v>16</v>
      </c>
      <c r="F23" t="s">
        <v>35</v>
      </c>
      <c r="G23" t="s">
        <v>41</v>
      </c>
      <c r="H23" s="3">
        <v>152.94</v>
      </c>
      <c r="I23" s="3">
        <f t="shared" si="0"/>
        <v>22.940999999999999</v>
      </c>
      <c r="J23" s="3">
        <f>Table13[[#This Row],[Sales]]+Table13[[#This Row],[Tax]]</f>
        <v>175.881</v>
      </c>
    </row>
    <row r="24" spans="1:10" x14ac:dyDescent="0.25">
      <c r="A24" s="2">
        <v>46023</v>
      </c>
      <c r="B24" t="s">
        <v>12</v>
      </c>
      <c r="C24" t="s">
        <v>14</v>
      </c>
      <c r="D24" t="s">
        <v>15</v>
      </c>
      <c r="E24" t="s">
        <v>16</v>
      </c>
      <c r="F24" t="s">
        <v>36</v>
      </c>
      <c r="G24" t="s">
        <v>46</v>
      </c>
      <c r="H24" s="3">
        <v>681.33</v>
      </c>
      <c r="I24" s="3">
        <f t="shared" si="0"/>
        <v>102.1995</v>
      </c>
      <c r="J24" s="3">
        <f>Table13[[#This Row],[Sales]]+Table13[[#This Row],[Tax]]</f>
        <v>783.5295000000001</v>
      </c>
    </row>
    <row r="25" spans="1:10" x14ac:dyDescent="0.25">
      <c r="A25" s="2">
        <v>46023</v>
      </c>
      <c r="B25" t="s">
        <v>12</v>
      </c>
      <c r="C25" t="s">
        <v>14</v>
      </c>
      <c r="D25" t="s">
        <v>15</v>
      </c>
      <c r="E25" t="s">
        <v>16</v>
      </c>
      <c r="F25" t="s">
        <v>37</v>
      </c>
      <c r="G25" t="s">
        <v>42</v>
      </c>
      <c r="H25" s="3">
        <v>15.89</v>
      </c>
      <c r="I25" s="3">
        <f t="shared" si="0"/>
        <v>2.3835000000000002</v>
      </c>
      <c r="J25" s="3">
        <f>Table13[[#This Row],[Sales]]+Table13[[#This Row],[Tax]]</f>
        <v>18.273500000000002</v>
      </c>
    </row>
    <row r="26" spans="1:10" x14ac:dyDescent="0.25">
      <c r="A26" s="2">
        <v>46023</v>
      </c>
      <c r="B26" t="s">
        <v>13</v>
      </c>
      <c r="C26" t="s">
        <v>14</v>
      </c>
      <c r="D26" t="s">
        <v>15</v>
      </c>
      <c r="E26" t="s">
        <v>16</v>
      </c>
      <c r="F26" t="s">
        <v>38</v>
      </c>
      <c r="G26" t="s">
        <v>42</v>
      </c>
      <c r="H26" s="3">
        <v>261.35000000000002</v>
      </c>
      <c r="I26" s="3">
        <f t="shared" si="0"/>
        <v>39.202500000000001</v>
      </c>
      <c r="J26" s="3">
        <f>Table13[[#This Row],[Sales]]+Table13[[#This Row],[Tax]]</f>
        <v>300.55250000000001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5816-1BDF-4407-B908-4D7224F0FF9B}">
  <dimension ref="A1:I19"/>
  <sheetViews>
    <sheetView workbookViewId="0">
      <selection activeCell="B7" sqref="B7:B19"/>
    </sheetView>
  </sheetViews>
  <sheetFormatPr defaultRowHeight="15" x14ac:dyDescent="0.25"/>
  <cols>
    <col min="1" max="1" width="19.7109375" customWidth="1"/>
    <col min="2" max="2" width="11.42578125" customWidth="1"/>
    <col min="4" max="4" width="19.5703125" customWidth="1"/>
    <col min="5" max="5" width="10.140625" customWidth="1"/>
    <col min="7" max="7" width="14.7109375" bestFit="1" customWidth="1"/>
    <col min="9" max="9" width="13.85546875" customWidth="1"/>
  </cols>
  <sheetData>
    <row r="1" spans="1:9" s="36" customFormat="1" ht="27" customHeight="1" thickBot="1" x14ac:dyDescent="0.3">
      <c r="A1" s="36" t="s">
        <v>50</v>
      </c>
    </row>
    <row r="2" spans="1:9" ht="15.75" thickTop="1" x14ac:dyDescent="0.25"/>
    <row r="6" spans="1:9" x14ac:dyDescent="0.25">
      <c r="A6" s="16" t="s">
        <v>64</v>
      </c>
      <c r="B6" s="16" t="s">
        <v>65</v>
      </c>
      <c r="D6" s="16" t="s">
        <v>66</v>
      </c>
      <c r="E6" s="16" t="s">
        <v>67</v>
      </c>
      <c r="G6" s="17" t="s">
        <v>68</v>
      </c>
      <c r="I6" s="5"/>
    </row>
    <row r="7" spans="1:9" x14ac:dyDescent="0.25">
      <c r="A7" s="5" t="s">
        <v>17</v>
      </c>
      <c r="B7" s="22">
        <v>5</v>
      </c>
      <c r="D7" s="5" t="s">
        <v>39</v>
      </c>
      <c r="E7" s="5"/>
    </row>
    <row r="8" spans="1:9" x14ac:dyDescent="0.25">
      <c r="A8" s="5" t="s">
        <v>18</v>
      </c>
      <c r="B8" s="22">
        <v>1794.12</v>
      </c>
      <c r="D8" s="5" t="s">
        <v>40</v>
      </c>
      <c r="E8" s="5"/>
      <c r="G8" s="17" t="s">
        <v>69</v>
      </c>
      <c r="I8" s="5"/>
    </row>
    <row r="9" spans="1:9" x14ac:dyDescent="0.25">
      <c r="A9" s="5" t="s">
        <v>19</v>
      </c>
      <c r="B9" s="22">
        <v>1000</v>
      </c>
      <c r="D9" s="5" t="s">
        <v>41</v>
      </c>
      <c r="E9" s="5"/>
    </row>
    <row r="10" spans="1:9" x14ac:dyDescent="0.25">
      <c r="A10" s="5" t="s">
        <v>20</v>
      </c>
      <c r="B10" s="22">
        <v>298.32</v>
      </c>
      <c r="D10" s="5" t="s">
        <v>42</v>
      </c>
      <c r="E10" s="5"/>
      <c r="G10" s="17" t="s">
        <v>70</v>
      </c>
      <c r="I10" s="5"/>
    </row>
    <row r="11" spans="1:9" x14ac:dyDescent="0.25">
      <c r="A11" s="5" t="s">
        <v>21</v>
      </c>
      <c r="B11" s="22">
        <v>183.25</v>
      </c>
      <c r="D11" s="5" t="s">
        <v>43</v>
      </c>
      <c r="E11" s="5"/>
    </row>
    <row r="12" spans="1:9" x14ac:dyDescent="0.25">
      <c r="A12" s="5" t="s">
        <v>22</v>
      </c>
      <c r="B12" s="22">
        <v>1693.79</v>
      </c>
      <c r="D12" s="5" t="s">
        <v>44</v>
      </c>
      <c r="E12" s="5"/>
    </row>
    <row r="13" spans="1:9" x14ac:dyDescent="0.25">
      <c r="A13" s="5" t="s">
        <v>23</v>
      </c>
      <c r="B13" s="22">
        <v>30</v>
      </c>
      <c r="D13" s="5" t="s">
        <v>45</v>
      </c>
      <c r="E13" s="5"/>
    </row>
    <row r="14" spans="1:9" x14ac:dyDescent="0.25">
      <c r="A14" s="5" t="s">
        <v>24</v>
      </c>
      <c r="B14" s="22">
        <v>12</v>
      </c>
      <c r="D14" s="5" t="s">
        <v>46</v>
      </c>
      <c r="E14" s="5"/>
    </row>
    <row r="15" spans="1:9" x14ac:dyDescent="0.25">
      <c r="A15" s="5" t="s">
        <v>25</v>
      </c>
      <c r="B15" s="22">
        <v>1085.08</v>
      </c>
    </row>
    <row r="16" spans="1:9" x14ac:dyDescent="0.25">
      <c r="A16" s="5" t="s">
        <v>26</v>
      </c>
      <c r="B16" s="22">
        <v>10</v>
      </c>
    </row>
    <row r="17" spans="1:2" x14ac:dyDescent="0.25">
      <c r="A17" s="5" t="s">
        <v>27</v>
      </c>
      <c r="B17" s="22">
        <v>173.53</v>
      </c>
    </row>
    <row r="18" spans="1:2" x14ac:dyDescent="0.25">
      <c r="A18" s="5" t="s">
        <v>28</v>
      </c>
      <c r="B18" s="22">
        <v>3</v>
      </c>
    </row>
    <row r="19" spans="1:2" x14ac:dyDescent="0.25">
      <c r="A19" s="5" t="s">
        <v>29</v>
      </c>
      <c r="B19" s="22">
        <v>200</v>
      </c>
    </row>
  </sheetData>
  <mergeCells count="1">
    <mergeCell ref="A1:XFD1"/>
  </mergeCells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D372-A0D9-4A88-AA6F-4C8EF4098FE6}">
  <dimension ref="A1:B19"/>
  <sheetViews>
    <sheetView tabSelected="1" workbookViewId="0">
      <selection sqref="A1:XFD1"/>
    </sheetView>
  </sheetViews>
  <sheetFormatPr defaultRowHeight="15" x14ac:dyDescent="0.25"/>
  <cols>
    <col min="1" max="1" width="19.42578125" customWidth="1"/>
    <col min="2" max="2" width="13" customWidth="1"/>
  </cols>
  <sheetData>
    <row r="1" spans="1:2" s="38" customFormat="1" ht="25.5" customHeight="1" x14ac:dyDescent="0.25">
      <c r="A1" s="37" t="s">
        <v>71</v>
      </c>
    </row>
    <row r="4" spans="1:2" x14ac:dyDescent="0.25">
      <c r="A4" s="16" t="s">
        <v>64</v>
      </c>
      <c r="B4" s="16" t="s">
        <v>72</v>
      </c>
    </row>
    <row r="5" spans="1:2" x14ac:dyDescent="0.25">
      <c r="A5" s="5" t="s">
        <v>17</v>
      </c>
      <c r="B5" s="23">
        <v>5</v>
      </c>
    </row>
    <row r="6" spans="1:2" x14ac:dyDescent="0.25">
      <c r="A6" s="5" t="s">
        <v>18</v>
      </c>
      <c r="B6" s="23">
        <v>1794.12</v>
      </c>
    </row>
    <row r="7" spans="1:2" x14ac:dyDescent="0.25">
      <c r="A7" s="5" t="s">
        <v>19</v>
      </c>
      <c r="B7" s="23">
        <v>1000</v>
      </c>
    </row>
    <row r="8" spans="1:2" x14ac:dyDescent="0.25">
      <c r="A8" s="5" t="s">
        <v>20</v>
      </c>
      <c r="B8" s="23">
        <v>298.32</v>
      </c>
    </row>
    <row r="9" spans="1:2" x14ac:dyDescent="0.25">
      <c r="A9" s="5" t="s">
        <v>21</v>
      </c>
      <c r="B9" s="23">
        <v>183.25</v>
      </c>
    </row>
    <row r="10" spans="1:2" x14ac:dyDescent="0.25">
      <c r="A10" s="5" t="s">
        <v>22</v>
      </c>
      <c r="B10" s="23">
        <v>1693.79</v>
      </c>
    </row>
    <row r="11" spans="1:2" x14ac:dyDescent="0.25">
      <c r="A11" s="5" t="s">
        <v>23</v>
      </c>
      <c r="B11" s="23">
        <v>30</v>
      </c>
    </row>
    <row r="12" spans="1:2" x14ac:dyDescent="0.25">
      <c r="A12" s="5" t="s">
        <v>24</v>
      </c>
      <c r="B12" s="23">
        <v>12</v>
      </c>
    </row>
    <row r="13" spans="1:2" x14ac:dyDescent="0.25">
      <c r="A13" s="5" t="s">
        <v>25</v>
      </c>
      <c r="B13" s="23">
        <v>1085.08</v>
      </c>
    </row>
    <row r="14" spans="1:2" x14ac:dyDescent="0.25">
      <c r="A14" s="5" t="s">
        <v>26</v>
      </c>
      <c r="B14" s="23">
        <v>10</v>
      </c>
    </row>
    <row r="15" spans="1:2" x14ac:dyDescent="0.25">
      <c r="A15" s="5" t="s">
        <v>27</v>
      </c>
      <c r="B15" s="23">
        <v>173.53</v>
      </c>
    </row>
    <row r="16" spans="1:2" x14ac:dyDescent="0.25">
      <c r="A16" s="5" t="s">
        <v>28</v>
      </c>
      <c r="B16" s="23">
        <v>3</v>
      </c>
    </row>
    <row r="17" spans="1:2" ht="15.75" thickBot="1" x14ac:dyDescent="0.3">
      <c r="A17" s="24" t="s">
        <v>29</v>
      </c>
      <c r="B17" s="25">
        <v>200</v>
      </c>
    </row>
    <row r="18" spans="1:2" ht="16.5" thickTop="1" thickBot="1" x14ac:dyDescent="0.3">
      <c r="A18" s="26" t="s">
        <v>73</v>
      </c>
      <c r="B18" s="27">
        <f>SUM(B5:B17)</f>
        <v>6488.0899999999992</v>
      </c>
    </row>
    <row r="19" spans="1:2" ht="15.75" thickTop="1" x14ac:dyDescent="0.25"/>
  </sheetData>
  <mergeCells count="1">
    <mergeCell ref="A1:XF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7FCA-2D25-4BE6-BF80-8D37BDD9166B}">
  <dimension ref="A1:M26"/>
  <sheetViews>
    <sheetView workbookViewId="0">
      <selection activeCell="O10" sqref="O10"/>
    </sheetView>
  </sheetViews>
  <sheetFormatPr defaultRowHeight="15" x14ac:dyDescent="0.25"/>
  <cols>
    <col min="1" max="1" width="9.28515625" bestFit="1" customWidth="1"/>
    <col min="2" max="2" width="11.42578125" bestFit="1" customWidth="1"/>
    <col min="3" max="3" width="9.85546875" bestFit="1" customWidth="1"/>
    <col min="4" max="4" width="13" bestFit="1" customWidth="1"/>
    <col min="5" max="5" width="10.28515625" bestFit="1" customWidth="1"/>
    <col min="6" max="6" width="17.5703125" bestFit="1" customWidth="1"/>
    <col min="7" max="7" width="14.42578125" bestFit="1" customWidth="1"/>
    <col min="8" max="8" width="10.5703125" bestFit="1" customWidth="1"/>
    <col min="9" max="9" width="9" bestFit="1" customWidth="1"/>
    <col min="10" max="10" width="10.5703125" bestFit="1" customWidth="1"/>
  </cols>
  <sheetData>
    <row r="1" spans="1:13" s="33" customFormat="1" ht="25.5" customHeight="1" x14ac:dyDescent="0.25">
      <c r="A1" s="33" t="s">
        <v>0</v>
      </c>
    </row>
    <row r="4" spans="1:13" x14ac:dyDescent="0.25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L4" s="21" t="s">
        <v>11</v>
      </c>
      <c r="M4" s="4">
        <v>0.15</v>
      </c>
    </row>
    <row r="5" spans="1:13" x14ac:dyDescent="0.25">
      <c r="A5" s="18">
        <v>46023</v>
      </c>
      <c r="B5" s="12" t="s">
        <v>12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39</v>
      </c>
      <c r="H5" s="19">
        <v>5</v>
      </c>
      <c r="I5" s="20">
        <f t="shared" ref="I5:I26" si="0">H5*Sales_Tax</f>
        <v>0.75</v>
      </c>
      <c r="J5" s="20">
        <f>Table134[[#This Row],[Sales]]+Table134[[#This Row],[Tax]]</f>
        <v>5.75</v>
      </c>
    </row>
    <row r="6" spans="1:13" x14ac:dyDescent="0.25">
      <c r="A6" s="18">
        <v>46023</v>
      </c>
      <c r="B6" s="12" t="s">
        <v>12</v>
      </c>
      <c r="C6" s="12" t="s">
        <v>14</v>
      </c>
      <c r="D6" s="12" t="s">
        <v>15</v>
      </c>
      <c r="E6" s="12" t="s">
        <v>16</v>
      </c>
      <c r="F6" s="12" t="s">
        <v>18</v>
      </c>
      <c r="G6" s="12" t="s">
        <v>40</v>
      </c>
      <c r="H6" s="19">
        <v>1794.12</v>
      </c>
      <c r="I6" s="20">
        <f t="shared" si="0"/>
        <v>269.11799999999999</v>
      </c>
      <c r="J6" s="20">
        <f>Table134[[#This Row],[Sales]]+Table134[[#This Row],[Tax]]</f>
        <v>2063.2379999999998</v>
      </c>
    </row>
    <row r="7" spans="1:13" x14ac:dyDescent="0.25">
      <c r="A7" s="18">
        <v>46023</v>
      </c>
      <c r="B7" s="12" t="s">
        <v>12</v>
      </c>
      <c r="C7" s="12" t="s">
        <v>14</v>
      </c>
      <c r="D7" s="12" t="s">
        <v>15</v>
      </c>
      <c r="E7" s="12" t="s">
        <v>16</v>
      </c>
      <c r="F7" s="12" t="s">
        <v>19</v>
      </c>
      <c r="G7" s="12" t="s">
        <v>41</v>
      </c>
      <c r="H7" s="19">
        <v>1000</v>
      </c>
      <c r="I7" s="20">
        <f t="shared" si="0"/>
        <v>150</v>
      </c>
      <c r="J7" s="20">
        <f>Table134[[#This Row],[Sales]]+Table134[[#This Row],[Tax]]</f>
        <v>1150</v>
      </c>
    </row>
    <row r="8" spans="1:13" x14ac:dyDescent="0.25">
      <c r="A8" s="18">
        <v>46023</v>
      </c>
      <c r="B8" s="12" t="s">
        <v>13</v>
      </c>
      <c r="C8" s="12" t="s">
        <v>14</v>
      </c>
      <c r="D8" s="12" t="s">
        <v>15</v>
      </c>
      <c r="E8" s="12" t="s">
        <v>16</v>
      </c>
      <c r="F8" s="12" t="s">
        <v>20</v>
      </c>
      <c r="G8" s="12" t="s">
        <v>42</v>
      </c>
      <c r="H8" s="19">
        <v>298.32</v>
      </c>
      <c r="I8" s="20">
        <f t="shared" si="0"/>
        <v>44.747999999999998</v>
      </c>
      <c r="J8" s="20">
        <f>Table134[[#This Row],[Sales]]+Table134[[#This Row],[Tax]]</f>
        <v>343.06799999999998</v>
      </c>
    </row>
    <row r="9" spans="1:13" x14ac:dyDescent="0.25">
      <c r="A9" s="18">
        <v>46023</v>
      </c>
      <c r="B9" s="12" t="s">
        <v>12</v>
      </c>
      <c r="C9" s="12" t="s">
        <v>14</v>
      </c>
      <c r="D9" s="12" t="s">
        <v>15</v>
      </c>
      <c r="E9" s="12" t="s">
        <v>16</v>
      </c>
      <c r="F9" s="12" t="s">
        <v>21</v>
      </c>
      <c r="G9" s="12" t="s">
        <v>43</v>
      </c>
      <c r="H9" s="19">
        <v>183.25</v>
      </c>
      <c r="I9" s="20">
        <f t="shared" si="0"/>
        <v>27.487500000000001</v>
      </c>
      <c r="J9" s="20">
        <f>Table134[[#This Row],[Sales]]+Table134[[#This Row],[Tax]]</f>
        <v>210.73750000000001</v>
      </c>
    </row>
    <row r="10" spans="1:13" x14ac:dyDescent="0.25">
      <c r="A10" s="18">
        <v>46023</v>
      </c>
      <c r="B10" s="12" t="s">
        <v>12</v>
      </c>
      <c r="C10" s="12" t="s">
        <v>14</v>
      </c>
      <c r="D10" s="12" t="s">
        <v>15</v>
      </c>
      <c r="E10" s="12" t="s">
        <v>16</v>
      </c>
      <c r="F10" s="12" t="s">
        <v>22</v>
      </c>
      <c r="G10" s="12" t="s">
        <v>40</v>
      </c>
      <c r="H10" s="19">
        <v>1693.79</v>
      </c>
      <c r="I10" s="20">
        <f t="shared" si="0"/>
        <v>254.06849999999997</v>
      </c>
      <c r="J10" s="20">
        <f>Table134[[#This Row],[Sales]]+Table134[[#This Row],[Tax]]</f>
        <v>1947.8584999999998</v>
      </c>
    </row>
    <row r="11" spans="1:13" x14ac:dyDescent="0.25">
      <c r="A11" s="18">
        <v>46023</v>
      </c>
      <c r="B11" s="12" t="s">
        <v>13</v>
      </c>
      <c r="C11" s="12" t="s">
        <v>14</v>
      </c>
      <c r="D11" s="12" t="s">
        <v>15</v>
      </c>
      <c r="E11" s="12" t="s">
        <v>16</v>
      </c>
      <c r="F11" s="12" t="s">
        <v>23</v>
      </c>
      <c r="G11" s="12" t="s">
        <v>44</v>
      </c>
      <c r="H11" s="19">
        <v>30</v>
      </c>
      <c r="I11" s="20">
        <f t="shared" si="0"/>
        <v>4.5</v>
      </c>
      <c r="J11" s="20">
        <f>Table134[[#This Row],[Sales]]+Table134[[#This Row],[Tax]]</f>
        <v>34.5</v>
      </c>
    </row>
    <row r="12" spans="1:13" x14ac:dyDescent="0.25">
      <c r="A12" s="18">
        <v>46023</v>
      </c>
      <c r="B12" s="12" t="s">
        <v>13</v>
      </c>
      <c r="C12" s="12" t="s">
        <v>14</v>
      </c>
      <c r="D12" s="12" t="s">
        <v>15</v>
      </c>
      <c r="E12" s="12" t="s">
        <v>16</v>
      </c>
      <c r="F12" s="12" t="s">
        <v>24</v>
      </c>
      <c r="G12" s="12" t="s">
        <v>39</v>
      </c>
      <c r="H12" s="19">
        <v>12</v>
      </c>
      <c r="I12" s="20">
        <f t="shared" si="0"/>
        <v>1.7999999999999998</v>
      </c>
      <c r="J12" s="20">
        <f>Table134[[#This Row],[Sales]]+Table134[[#This Row],[Tax]]</f>
        <v>13.8</v>
      </c>
    </row>
    <row r="13" spans="1:13" x14ac:dyDescent="0.25">
      <c r="A13" s="18">
        <v>46023</v>
      </c>
      <c r="B13" s="12" t="s">
        <v>12</v>
      </c>
      <c r="C13" s="12" t="s">
        <v>14</v>
      </c>
      <c r="D13" s="12" t="s">
        <v>15</v>
      </c>
      <c r="E13" s="12" t="s">
        <v>16</v>
      </c>
      <c r="F13" s="12" t="s">
        <v>25</v>
      </c>
      <c r="G13" s="12" t="s">
        <v>43</v>
      </c>
      <c r="H13" s="19">
        <v>1085.08</v>
      </c>
      <c r="I13" s="20">
        <f t="shared" si="0"/>
        <v>162.76199999999997</v>
      </c>
      <c r="J13" s="20">
        <f>Table134[[#This Row],[Sales]]+Table134[[#This Row],[Tax]]</f>
        <v>1247.8419999999999</v>
      </c>
    </row>
    <row r="14" spans="1:13" x14ac:dyDescent="0.25">
      <c r="A14" s="18">
        <v>46023</v>
      </c>
      <c r="B14" s="12" t="s">
        <v>13</v>
      </c>
      <c r="C14" s="12" t="s">
        <v>14</v>
      </c>
      <c r="D14" s="12" t="s">
        <v>15</v>
      </c>
      <c r="E14" s="12" t="s">
        <v>16</v>
      </c>
      <c r="F14" s="12" t="s">
        <v>26</v>
      </c>
      <c r="G14" s="12" t="s">
        <v>44</v>
      </c>
      <c r="H14" s="19">
        <v>10</v>
      </c>
      <c r="I14" s="20">
        <f t="shared" si="0"/>
        <v>1.5</v>
      </c>
      <c r="J14" s="20">
        <f>Table134[[#This Row],[Sales]]+Table134[[#This Row],[Tax]]</f>
        <v>11.5</v>
      </c>
    </row>
    <row r="15" spans="1:13" x14ac:dyDescent="0.25">
      <c r="A15" s="18">
        <v>46023</v>
      </c>
      <c r="B15" s="12" t="s">
        <v>13</v>
      </c>
      <c r="C15" s="12" t="s">
        <v>14</v>
      </c>
      <c r="D15" s="12" t="s">
        <v>15</v>
      </c>
      <c r="E15" s="12" t="s">
        <v>16</v>
      </c>
      <c r="F15" s="12" t="s">
        <v>27</v>
      </c>
      <c r="G15" s="12" t="s">
        <v>44</v>
      </c>
      <c r="H15" s="19">
        <v>173.53</v>
      </c>
      <c r="I15" s="20">
        <f t="shared" si="0"/>
        <v>26.029499999999999</v>
      </c>
      <c r="J15" s="20">
        <f>Table134[[#This Row],[Sales]]+Table134[[#This Row],[Tax]]</f>
        <v>199.55950000000001</v>
      </c>
    </row>
    <row r="16" spans="1:13" x14ac:dyDescent="0.25">
      <c r="A16" s="18">
        <v>46023</v>
      </c>
      <c r="B16" s="12" t="s">
        <v>13</v>
      </c>
      <c r="C16" s="12" t="s">
        <v>14</v>
      </c>
      <c r="D16" s="12" t="s">
        <v>15</v>
      </c>
      <c r="E16" s="12" t="s">
        <v>16</v>
      </c>
      <c r="F16" s="12" t="s">
        <v>28</v>
      </c>
      <c r="G16" s="12" t="s">
        <v>44</v>
      </c>
      <c r="H16" s="19">
        <v>3</v>
      </c>
      <c r="I16" s="20">
        <f t="shared" si="0"/>
        <v>0.44999999999999996</v>
      </c>
      <c r="J16" s="20">
        <f>Table134[[#This Row],[Sales]]+Table134[[#This Row],[Tax]]</f>
        <v>3.45</v>
      </c>
    </row>
    <row r="17" spans="1:10" x14ac:dyDescent="0.25">
      <c r="A17" s="18">
        <v>46023</v>
      </c>
      <c r="B17" s="12" t="s">
        <v>13</v>
      </c>
      <c r="C17" s="12" t="s">
        <v>14</v>
      </c>
      <c r="D17" s="12" t="s">
        <v>15</v>
      </c>
      <c r="E17" s="12" t="s">
        <v>16</v>
      </c>
      <c r="F17" s="12" t="s">
        <v>29</v>
      </c>
      <c r="G17" s="12" t="s">
        <v>44</v>
      </c>
      <c r="H17" s="19">
        <v>200</v>
      </c>
      <c r="I17" s="20">
        <f t="shared" si="0"/>
        <v>30</v>
      </c>
      <c r="J17" s="20">
        <f>Table134[[#This Row],[Sales]]+Table134[[#This Row],[Tax]]</f>
        <v>230</v>
      </c>
    </row>
    <row r="18" spans="1:10" x14ac:dyDescent="0.25">
      <c r="A18" s="18">
        <v>46023</v>
      </c>
      <c r="B18" s="12" t="s">
        <v>12</v>
      </c>
      <c r="C18" s="12" t="s">
        <v>14</v>
      </c>
      <c r="D18" s="12" t="s">
        <v>15</v>
      </c>
      <c r="E18" s="12" t="s">
        <v>16</v>
      </c>
      <c r="F18" s="12" t="s">
        <v>30</v>
      </c>
      <c r="G18" s="12" t="s">
        <v>43</v>
      </c>
      <c r="H18" s="19">
        <v>748.93</v>
      </c>
      <c r="I18" s="20">
        <f t="shared" si="0"/>
        <v>112.33949999999999</v>
      </c>
      <c r="J18" s="20">
        <f>Table134[[#This Row],[Sales]]+Table134[[#This Row],[Tax]]</f>
        <v>861.26949999999988</v>
      </c>
    </row>
    <row r="19" spans="1:10" x14ac:dyDescent="0.25">
      <c r="A19" s="18">
        <v>46023</v>
      </c>
      <c r="B19" s="12" t="s">
        <v>13</v>
      </c>
      <c r="C19" s="12" t="s">
        <v>14</v>
      </c>
      <c r="D19" s="12" t="s">
        <v>15</v>
      </c>
      <c r="E19" s="12" t="s">
        <v>16</v>
      </c>
      <c r="F19" s="12" t="s">
        <v>31</v>
      </c>
      <c r="G19" s="12" t="s">
        <v>45</v>
      </c>
      <c r="H19" s="19">
        <v>26.78</v>
      </c>
      <c r="I19" s="20">
        <f t="shared" si="0"/>
        <v>4.0170000000000003</v>
      </c>
      <c r="J19" s="20">
        <f>Table134[[#This Row],[Sales]]+Table134[[#This Row],[Tax]]</f>
        <v>30.797000000000001</v>
      </c>
    </row>
    <row r="20" spans="1:10" x14ac:dyDescent="0.25">
      <c r="A20" s="18">
        <v>46023</v>
      </c>
      <c r="B20" s="12" t="s">
        <v>13</v>
      </c>
      <c r="C20" s="12" t="s">
        <v>14</v>
      </c>
      <c r="D20" s="12" t="s">
        <v>15</v>
      </c>
      <c r="E20" s="12" t="s">
        <v>16</v>
      </c>
      <c r="F20" s="12" t="s">
        <v>32</v>
      </c>
      <c r="G20" s="12" t="s">
        <v>45</v>
      </c>
      <c r="H20" s="19">
        <v>38.020000000000003</v>
      </c>
      <c r="I20" s="20">
        <f t="shared" si="0"/>
        <v>5.7030000000000003</v>
      </c>
      <c r="J20" s="20">
        <f>Table134[[#This Row],[Sales]]+Table134[[#This Row],[Tax]]</f>
        <v>43.723000000000006</v>
      </c>
    </row>
    <row r="21" spans="1:10" x14ac:dyDescent="0.25">
      <c r="A21" s="18">
        <v>46023</v>
      </c>
      <c r="B21" s="12" t="s">
        <v>13</v>
      </c>
      <c r="C21" s="12" t="s">
        <v>14</v>
      </c>
      <c r="D21" s="12" t="s">
        <v>15</v>
      </c>
      <c r="E21" s="12" t="s">
        <v>16</v>
      </c>
      <c r="F21" s="12" t="s">
        <v>33</v>
      </c>
      <c r="G21" s="12" t="s">
        <v>46</v>
      </c>
      <c r="H21" s="19">
        <v>332.14</v>
      </c>
      <c r="I21" s="20">
        <f t="shared" si="0"/>
        <v>49.820999999999998</v>
      </c>
      <c r="J21" s="20">
        <f>Table134[[#This Row],[Sales]]+Table134[[#This Row],[Tax]]</f>
        <v>381.96100000000001</v>
      </c>
    </row>
    <row r="22" spans="1:10" x14ac:dyDescent="0.25">
      <c r="A22" s="18">
        <v>46023</v>
      </c>
      <c r="B22" s="12" t="s">
        <v>13</v>
      </c>
      <c r="C22" s="12" t="s">
        <v>14</v>
      </c>
      <c r="D22" s="12" t="s">
        <v>15</v>
      </c>
      <c r="E22" s="12" t="s">
        <v>16</v>
      </c>
      <c r="F22" s="12" t="s">
        <v>34</v>
      </c>
      <c r="G22" s="12" t="s">
        <v>43</v>
      </c>
      <c r="H22" s="19">
        <v>77.959999999999994</v>
      </c>
      <c r="I22" s="20">
        <f t="shared" si="0"/>
        <v>11.693999999999999</v>
      </c>
      <c r="J22" s="20">
        <f>Table134[[#This Row],[Sales]]+Table134[[#This Row],[Tax]]</f>
        <v>89.653999999999996</v>
      </c>
    </row>
    <row r="23" spans="1:10" x14ac:dyDescent="0.25">
      <c r="A23" s="18">
        <v>46023</v>
      </c>
      <c r="B23" s="12" t="s">
        <v>13</v>
      </c>
      <c r="C23" s="12" t="s">
        <v>14</v>
      </c>
      <c r="D23" s="12" t="s">
        <v>15</v>
      </c>
      <c r="E23" s="12" t="s">
        <v>16</v>
      </c>
      <c r="F23" s="12" t="s">
        <v>35</v>
      </c>
      <c r="G23" s="12" t="s">
        <v>41</v>
      </c>
      <c r="H23" s="19">
        <v>152.94</v>
      </c>
      <c r="I23" s="20">
        <f t="shared" si="0"/>
        <v>22.940999999999999</v>
      </c>
      <c r="J23" s="20">
        <f>Table134[[#This Row],[Sales]]+Table134[[#This Row],[Tax]]</f>
        <v>175.881</v>
      </c>
    </row>
    <row r="24" spans="1:10" x14ac:dyDescent="0.25">
      <c r="A24" s="18">
        <v>46023</v>
      </c>
      <c r="B24" s="12" t="s">
        <v>12</v>
      </c>
      <c r="C24" s="12" t="s">
        <v>14</v>
      </c>
      <c r="D24" s="12" t="s">
        <v>15</v>
      </c>
      <c r="E24" s="12" t="s">
        <v>16</v>
      </c>
      <c r="F24" s="12" t="s">
        <v>36</v>
      </c>
      <c r="G24" s="12" t="s">
        <v>46</v>
      </c>
      <c r="H24" s="19">
        <v>681.33</v>
      </c>
      <c r="I24" s="20">
        <f t="shared" si="0"/>
        <v>102.1995</v>
      </c>
      <c r="J24" s="20">
        <f>Table134[[#This Row],[Sales]]+Table134[[#This Row],[Tax]]</f>
        <v>783.5295000000001</v>
      </c>
    </row>
    <row r="25" spans="1:10" x14ac:dyDescent="0.25">
      <c r="A25" s="18">
        <v>46023</v>
      </c>
      <c r="B25" s="12" t="s">
        <v>12</v>
      </c>
      <c r="C25" s="12" t="s">
        <v>14</v>
      </c>
      <c r="D25" s="12" t="s">
        <v>15</v>
      </c>
      <c r="E25" s="12" t="s">
        <v>16</v>
      </c>
      <c r="F25" s="12" t="s">
        <v>37</v>
      </c>
      <c r="G25" s="12" t="s">
        <v>42</v>
      </c>
      <c r="H25" s="19">
        <v>15.89</v>
      </c>
      <c r="I25" s="20">
        <f t="shared" si="0"/>
        <v>2.3835000000000002</v>
      </c>
      <c r="J25" s="20">
        <f>Table134[[#This Row],[Sales]]+Table134[[#This Row],[Tax]]</f>
        <v>18.273500000000002</v>
      </c>
    </row>
    <row r="26" spans="1:10" x14ac:dyDescent="0.25">
      <c r="A26" s="18">
        <v>46023</v>
      </c>
      <c r="B26" s="12" t="s">
        <v>13</v>
      </c>
      <c r="C26" s="12" t="s">
        <v>14</v>
      </c>
      <c r="D26" s="12" t="s">
        <v>15</v>
      </c>
      <c r="E26" s="12" t="s">
        <v>16</v>
      </c>
      <c r="F26" s="12" t="s">
        <v>38</v>
      </c>
      <c r="G26" s="12" t="s">
        <v>42</v>
      </c>
      <c r="H26" s="19">
        <v>261.35000000000002</v>
      </c>
      <c r="I26" s="20">
        <f t="shared" si="0"/>
        <v>39.202500000000001</v>
      </c>
      <c r="J26" s="20">
        <f>Table134[[#This Row],[Sales]]+Table134[[#This Row],[Tax]]</f>
        <v>300.55250000000001</v>
      </c>
    </row>
  </sheetData>
  <mergeCells count="1">
    <mergeCell ref="A1:XFD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0F6A-6745-46DD-AC08-6A41B11E8BEB}">
  <dimension ref="A1:M26"/>
  <sheetViews>
    <sheetView workbookViewId="0">
      <selection activeCell="L8" sqref="L8"/>
    </sheetView>
  </sheetViews>
  <sheetFormatPr defaultRowHeight="15" x14ac:dyDescent="0.25"/>
  <cols>
    <col min="1" max="1" width="9.7109375" customWidth="1"/>
    <col min="2" max="2" width="12.5703125" customWidth="1"/>
    <col min="3" max="3" width="11.140625" customWidth="1"/>
    <col min="4" max="4" width="6.28515625" customWidth="1"/>
    <col min="5" max="5" width="5.28515625" customWidth="1"/>
    <col min="6" max="6" width="17.5703125" bestFit="1" customWidth="1"/>
    <col min="7" max="7" width="14.42578125" bestFit="1" customWidth="1"/>
    <col min="8" max="8" width="10.5703125" bestFit="1" customWidth="1"/>
    <col min="9" max="9" width="9" bestFit="1" customWidth="1"/>
    <col min="10" max="10" width="10.5703125" bestFit="1" customWidth="1"/>
  </cols>
  <sheetData>
    <row r="1" spans="1:13" s="35" customFormat="1" ht="25.5" customHeight="1" x14ac:dyDescent="0.25">
      <c r="A1" s="35" t="s">
        <v>0</v>
      </c>
    </row>
    <row r="4" spans="1:13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1" t="s">
        <v>9</v>
      </c>
      <c r="J4" s="1" t="s">
        <v>10</v>
      </c>
      <c r="L4" s="1" t="s">
        <v>11</v>
      </c>
      <c r="M4" s="32">
        <v>0.15</v>
      </c>
    </row>
    <row r="5" spans="1:13" x14ac:dyDescent="0.25">
      <c r="A5" s="29">
        <v>46023</v>
      </c>
      <c r="B5" s="30" t="s">
        <v>12</v>
      </c>
      <c r="C5" s="30" t="s">
        <v>14</v>
      </c>
      <c r="D5" s="30" t="s">
        <v>15</v>
      </c>
      <c r="E5" s="30" t="s">
        <v>16</v>
      </c>
      <c r="F5" s="30" t="s">
        <v>17</v>
      </c>
      <c r="G5" s="30" t="s">
        <v>39</v>
      </c>
      <c r="H5" s="31">
        <v>5</v>
      </c>
      <c r="I5" s="3">
        <f t="shared" ref="I5:I26" si="0">H5*Sales_Tax</f>
        <v>0.75</v>
      </c>
      <c r="J5" s="3">
        <f>Table135[[#This Row],[Sales]]+Table135[[#This Row],[Tax]]</f>
        <v>5.75</v>
      </c>
    </row>
    <row r="6" spans="1:13" x14ac:dyDescent="0.25">
      <c r="A6" s="29">
        <v>46023</v>
      </c>
      <c r="B6" s="30" t="s">
        <v>12</v>
      </c>
      <c r="C6" s="30" t="s">
        <v>14</v>
      </c>
      <c r="D6" s="30" t="s">
        <v>15</v>
      </c>
      <c r="E6" s="30" t="s">
        <v>16</v>
      </c>
      <c r="F6" s="30" t="s">
        <v>18</v>
      </c>
      <c r="G6" s="30" t="s">
        <v>40</v>
      </c>
      <c r="H6" s="31">
        <v>1794.12</v>
      </c>
      <c r="I6" s="3">
        <f t="shared" si="0"/>
        <v>269.11799999999999</v>
      </c>
      <c r="J6" s="3">
        <f>Table135[[#This Row],[Sales]]+Table135[[#This Row],[Tax]]</f>
        <v>2063.2379999999998</v>
      </c>
    </row>
    <row r="7" spans="1:13" x14ac:dyDescent="0.25">
      <c r="A7" s="29">
        <v>46023</v>
      </c>
      <c r="B7" s="30" t="s">
        <v>12</v>
      </c>
      <c r="C7" s="30" t="s">
        <v>14</v>
      </c>
      <c r="D7" s="30" t="s">
        <v>15</v>
      </c>
      <c r="E7" s="30" t="s">
        <v>16</v>
      </c>
      <c r="F7" s="30" t="s">
        <v>19</v>
      </c>
      <c r="G7" s="30" t="s">
        <v>41</v>
      </c>
      <c r="H7" s="31">
        <v>1000</v>
      </c>
      <c r="I7" s="3">
        <f t="shared" si="0"/>
        <v>150</v>
      </c>
      <c r="J7" s="3">
        <f>Table135[[#This Row],[Sales]]+Table135[[#This Row],[Tax]]</f>
        <v>1150</v>
      </c>
    </row>
    <row r="8" spans="1:13" x14ac:dyDescent="0.25">
      <c r="A8" s="29">
        <v>46023</v>
      </c>
      <c r="B8" s="30" t="s">
        <v>13</v>
      </c>
      <c r="C8" s="30" t="s">
        <v>14</v>
      </c>
      <c r="D8" s="30" t="s">
        <v>15</v>
      </c>
      <c r="E8" s="30" t="s">
        <v>16</v>
      </c>
      <c r="F8" s="30" t="s">
        <v>20</v>
      </c>
      <c r="G8" s="30" t="s">
        <v>42</v>
      </c>
      <c r="H8" s="31">
        <v>298.32</v>
      </c>
      <c r="I8" s="3">
        <f t="shared" si="0"/>
        <v>44.747999999999998</v>
      </c>
      <c r="J8" s="3">
        <f>Table135[[#This Row],[Sales]]+Table135[[#This Row],[Tax]]</f>
        <v>343.06799999999998</v>
      </c>
    </row>
    <row r="9" spans="1:13" x14ac:dyDescent="0.25">
      <c r="A9" s="29">
        <v>46023</v>
      </c>
      <c r="B9" s="30" t="s">
        <v>12</v>
      </c>
      <c r="C9" s="30" t="s">
        <v>14</v>
      </c>
      <c r="D9" s="30" t="s">
        <v>15</v>
      </c>
      <c r="E9" s="30" t="s">
        <v>16</v>
      </c>
      <c r="F9" s="30" t="s">
        <v>21</v>
      </c>
      <c r="G9" s="30" t="s">
        <v>43</v>
      </c>
      <c r="H9" s="31">
        <v>183.25</v>
      </c>
      <c r="I9" s="3">
        <f t="shared" si="0"/>
        <v>27.487500000000001</v>
      </c>
      <c r="J9" s="3">
        <f>Table135[[#This Row],[Sales]]+Table135[[#This Row],[Tax]]</f>
        <v>210.73750000000001</v>
      </c>
    </row>
    <row r="10" spans="1:13" x14ac:dyDescent="0.25">
      <c r="A10" s="29">
        <v>46023</v>
      </c>
      <c r="B10" s="30" t="s">
        <v>12</v>
      </c>
      <c r="C10" s="30" t="s">
        <v>14</v>
      </c>
      <c r="D10" s="30" t="s">
        <v>15</v>
      </c>
      <c r="E10" s="30" t="s">
        <v>16</v>
      </c>
      <c r="F10" s="30" t="s">
        <v>22</v>
      </c>
      <c r="G10" s="30" t="s">
        <v>40</v>
      </c>
      <c r="H10" s="31">
        <v>1693.79</v>
      </c>
      <c r="I10" s="3">
        <f t="shared" si="0"/>
        <v>254.06849999999997</v>
      </c>
      <c r="J10" s="3">
        <f>Table135[[#This Row],[Sales]]+Table135[[#This Row],[Tax]]</f>
        <v>1947.8584999999998</v>
      </c>
    </row>
    <row r="11" spans="1:13" x14ac:dyDescent="0.25">
      <c r="A11" s="29">
        <v>46023</v>
      </c>
      <c r="B11" s="30" t="s">
        <v>13</v>
      </c>
      <c r="C11" s="30" t="s">
        <v>14</v>
      </c>
      <c r="D11" s="30" t="s">
        <v>15</v>
      </c>
      <c r="E11" s="30" t="s">
        <v>16</v>
      </c>
      <c r="F11" s="30" t="s">
        <v>23</v>
      </c>
      <c r="G11" s="30" t="s">
        <v>44</v>
      </c>
      <c r="H11" s="31">
        <v>30</v>
      </c>
      <c r="I11" s="3">
        <f t="shared" si="0"/>
        <v>4.5</v>
      </c>
      <c r="J11" s="3">
        <f>Table135[[#This Row],[Sales]]+Table135[[#This Row],[Tax]]</f>
        <v>34.5</v>
      </c>
    </row>
    <row r="12" spans="1:13" x14ac:dyDescent="0.25">
      <c r="A12" s="29">
        <v>46023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24</v>
      </c>
      <c r="G12" s="30" t="s">
        <v>39</v>
      </c>
      <c r="H12" s="31">
        <v>12</v>
      </c>
      <c r="I12" s="3">
        <f t="shared" si="0"/>
        <v>1.7999999999999998</v>
      </c>
      <c r="J12" s="3">
        <f>Table135[[#This Row],[Sales]]+Table135[[#This Row],[Tax]]</f>
        <v>13.8</v>
      </c>
    </row>
    <row r="13" spans="1:13" x14ac:dyDescent="0.25">
      <c r="A13" s="29">
        <v>46023</v>
      </c>
      <c r="B13" s="30" t="s">
        <v>12</v>
      </c>
      <c r="C13" s="30" t="s">
        <v>14</v>
      </c>
      <c r="D13" s="30" t="s">
        <v>15</v>
      </c>
      <c r="E13" s="30" t="s">
        <v>16</v>
      </c>
      <c r="F13" s="30" t="s">
        <v>25</v>
      </c>
      <c r="G13" s="30" t="s">
        <v>43</v>
      </c>
      <c r="H13" s="31">
        <v>1085.08</v>
      </c>
      <c r="I13" s="3">
        <f t="shared" si="0"/>
        <v>162.76199999999997</v>
      </c>
      <c r="J13" s="3">
        <f>Table135[[#This Row],[Sales]]+Table135[[#This Row],[Tax]]</f>
        <v>1247.8419999999999</v>
      </c>
    </row>
    <row r="14" spans="1:13" x14ac:dyDescent="0.25">
      <c r="A14" s="29">
        <v>46023</v>
      </c>
      <c r="B14" s="30" t="s">
        <v>13</v>
      </c>
      <c r="C14" s="30" t="s">
        <v>14</v>
      </c>
      <c r="D14" s="30" t="s">
        <v>15</v>
      </c>
      <c r="E14" s="30" t="s">
        <v>16</v>
      </c>
      <c r="F14" s="30" t="s">
        <v>26</v>
      </c>
      <c r="G14" s="30" t="s">
        <v>44</v>
      </c>
      <c r="H14" s="31">
        <v>10</v>
      </c>
      <c r="I14" s="3">
        <f t="shared" si="0"/>
        <v>1.5</v>
      </c>
      <c r="J14" s="3">
        <f>Table135[[#This Row],[Sales]]+Table135[[#This Row],[Tax]]</f>
        <v>11.5</v>
      </c>
    </row>
    <row r="15" spans="1:13" x14ac:dyDescent="0.25">
      <c r="A15" s="29">
        <v>46023</v>
      </c>
      <c r="B15" s="30" t="s">
        <v>13</v>
      </c>
      <c r="C15" s="30" t="s">
        <v>14</v>
      </c>
      <c r="D15" s="30" t="s">
        <v>15</v>
      </c>
      <c r="E15" s="30" t="s">
        <v>16</v>
      </c>
      <c r="F15" s="30" t="s">
        <v>27</v>
      </c>
      <c r="G15" s="30" t="s">
        <v>44</v>
      </c>
      <c r="H15" s="31">
        <v>173.53</v>
      </c>
      <c r="I15" s="3">
        <f t="shared" si="0"/>
        <v>26.029499999999999</v>
      </c>
      <c r="J15" s="3">
        <f>Table135[[#This Row],[Sales]]+Table135[[#This Row],[Tax]]</f>
        <v>199.55950000000001</v>
      </c>
    </row>
    <row r="16" spans="1:13" x14ac:dyDescent="0.25">
      <c r="A16" s="29">
        <v>46023</v>
      </c>
      <c r="B16" s="30" t="s">
        <v>13</v>
      </c>
      <c r="C16" s="30" t="s">
        <v>14</v>
      </c>
      <c r="D16" s="30" t="s">
        <v>15</v>
      </c>
      <c r="E16" s="30" t="s">
        <v>16</v>
      </c>
      <c r="F16" s="30" t="s">
        <v>28</v>
      </c>
      <c r="G16" s="30" t="s">
        <v>44</v>
      </c>
      <c r="H16" s="31">
        <v>3</v>
      </c>
      <c r="I16" s="3">
        <f t="shared" si="0"/>
        <v>0.44999999999999996</v>
      </c>
      <c r="J16" s="3">
        <f>Table135[[#This Row],[Sales]]+Table135[[#This Row],[Tax]]</f>
        <v>3.45</v>
      </c>
    </row>
    <row r="17" spans="1:10" x14ac:dyDescent="0.25">
      <c r="A17" s="29">
        <v>46023</v>
      </c>
      <c r="B17" s="30" t="s">
        <v>13</v>
      </c>
      <c r="C17" s="30" t="s">
        <v>14</v>
      </c>
      <c r="D17" s="30" t="s">
        <v>15</v>
      </c>
      <c r="E17" s="30" t="s">
        <v>16</v>
      </c>
      <c r="F17" s="30" t="s">
        <v>29</v>
      </c>
      <c r="G17" s="30" t="s">
        <v>44</v>
      </c>
      <c r="H17" s="31">
        <v>200</v>
      </c>
      <c r="I17" s="3">
        <f t="shared" si="0"/>
        <v>30</v>
      </c>
      <c r="J17" s="3">
        <f>Table135[[#This Row],[Sales]]+Table135[[#This Row],[Tax]]</f>
        <v>230</v>
      </c>
    </row>
    <row r="18" spans="1:10" x14ac:dyDescent="0.25">
      <c r="A18" s="29">
        <v>46023</v>
      </c>
      <c r="B18" s="30" t="s">
        <v>12</v>
      </c>
      <c r="C18" s="30" t="s">
        <v>14</v>
      </c>
      <c r="D18" s="30" t="s">
        <v>15</v>
      </c>
      <c r="E18" s="30" t="s">
        <v>16</v>
      </c>
      <c r="F18" s="30" t="s">
        <v>30</v>
      </c>
      <c r="G18" s="30" t="s">
        <v>43</v>
      </c>
      <c r="H18" s="31">
        <v>748.93</v>
      </c>
      <c r="I18" s="3">
        <f t="shared" si="0"/>
        <v>112.33949999999999</v>
      </c>
      <c r="J18" s="3">
        <f>Table135[[#This Row],[Sales]]+Table135[[#This Row],[Tax]]</f>
        <v>861.26949999999988</v>
      </c>
    </row>
    <row r="19" spans="1:10" x14ac:dyDescent="0.25">
      <c r="A19" s="29">
        <v>46023</v>
      </c>
      <c r="B19" s="30" t="s">
        <v>13</v>
      </c>
      <c r="C19" s="30" t="s">
        <v>14</v>
      </c>
      <c r="D19" s="30" t="s">
        <v>15</v>
      </c>
      <c r="E19" s="30" t="s">
        <v>16</v>
      </c>
      <c r="F19" s="30" t="s">
        <v>31</v>
      </c>
      <c r="G19" s="30" t="s">
        <v>45</v>
      </c>
      <c r="H19" s="31">
        <v>26.78</v>
      </c>
      <c r="I19" s="3">
        <f t="shared" si="0"/>
        <v>4.0170000000000003</v>
      </c>
      <c r="J19" s="3">
        <f>Table135[[#This Row],[Sales]]+Table135[[#This Row],[Tax]]</f>
        <v>30.797000000000001</v>
      </c>
    </row>
    <row r="20" spans="1:10" x14ac:dyDescent="0.25">
      <c r="A20" s="29">
        <v>46023</v>
      </c>
      <c r="B20" s="30" t="s">
        <v>13</v>
      </c>
      <c r="C20" s="30" t="s">
        <v>14</v>
      </c>
      <c r="D20" s="30" t="s">
        <v>15</v>
      </c>
      <c r="E20" s="30" t="s">
        <v>16</v>
      </c>
      <c r="F20" s="30" t="s">
        <v>32</v>
      </c>
      <c r="G20" s="30" t="s">
        <v>45</v>
      </c>
      <c r="H20" s="31">
        <v>38.020000000000003</v>
      </c>
      <c r="I20" s="3">
        <f t="shared" si="0"/>
        <v>5.7030000000000003</v>
      </c>
      <c r="J20" s="3">
        <f>Table135[[#This Row],[Sales]]+Table135[[#This Row],[Tax]]</f>
        <v>43.723000000000006</v>
      </c>
    </row>
    <row r="21" spans="1:10" x14ac:dyDescent="0.25">
      <c r="A21" s="29">
        <v>46023</v>
      </c>
      <c r="B21" s="30" t="s">
        <v>13</v>
      </c>
      <c r="C21" s="30" t="s">
        <v>14</v>
      </c>
      <c r="D21" s="30" t="s">
        <v>15</v>
      </c>
      <c r="E21" s="30" t="s">
        <v>16</v>
      </c>
      <c r="F21" s="30" t="s">
        <v>33</v>
      </c>
      <c r="G21" s="30" t="s">
        <v>46</v>
      </c>
      <c r="H21" s="31">
        <v>332.14</v>
      </c>
      <c r="I21" s="3">
        <f t="shared" si="0"/>
        <v>49.820999999999998</v>
      </c>
      <c r="J21" s="3">
        <f>Table135[[#This Row],[Sales]]+Table135[[#This Row],[Tax]]</f>
        <v>381.96100000000001</v>
      </c>
    </row>
    <row r="22" spans="1:10" x14ac:dyDescent="0.25">
      <c r="A22" s="29">
        <v>46023</v>
      </c>
      <c r="B22" s="30" t="s">
        <v>13</v>
      </c>
      <c r="C22" s="30" t="s">
        <v>14</v>
      </c>
      <c r="D22" s="30" t="s">
        <v>15</v>
      </c>
      <c r="E22" s="30" t="s">
        <v>16</v>
      </c>
      <c r="F22" s="30" t="s">
        <v>34</v>
      </c>
      <c r="G22" s="30" t="s">
        <v>43</v>
      </c>
      <c r="H22" s="31">
        <v>77.959999999999994</v>
      </c>
      <c r="I22" s="3">
        <f t="shared" si="0"/>
        <v>11.693999999999999</v>
      </c>
      <c r="J22" s="3">
        <f>Table135[[#This Row],[Sales]]+Table135[[#This Row],[Tax]]</f>
        <v>89.653999999999996</v>
      </c>
    </row>
    <row r="23" spans="1:10" x14ac:dyDescent="0.25">
      <c r="A23" s="29">
        <v>46023</v>
      </c>
      <c r="B23" s="30" t="s">
        <v>13</v>
      </c>
      <c r="C23" s="30" t="s">
        <v>14</v>
      </c>
      <c r="D23" s="30" t="s">
        <v>15</v>
      </c>
      <c r="E23" s="30" t="s">
        <v>16</v>
      </c>
      <c r="F23" s="30" t="s">
        <v>35</v>
      </c>
      <c r="G23" s="30" t="s">
        <v>41</v>
      </c>
      <c r="H23" s="31">
        <v>152.94</v>
      </c>
      <c r="I23" s="3">
        <f t="shared" si="0"/>
        <v>22.940999999999999</v>
      </c>
      <c r="J23" s="3">
        <f>Table135[[#This Row],[Sales]]+Table135[[#This Row],[Tax]]</f>
        <v>175.881</v>
      </c>
    </row>
    <row r="24" spans="1:10" x14ac:dyDescent="0.25">
      <c r="A24" s="29">
        <v>46023</v>
      </c>
      <c r="B24" s="30" t="s">
        <v>12</v>
      </c>
      <c r="C24" s="30" t="s">
        <v>14</v>
      </c>
      <c r="D24" s="30" t="s">
        <v>15</v>
      </c>
      <c r="E24" s="30" t="s">
        <v>16</v>
      </c>
      <c r="F24" s="30" t="s">
        <v>36</v>
      </c>
      <c r="G24" s="30" t="s">
        <v>46</v>
      </c>
      <c r="H24" s="31">
        <v>681.33</v>
      </c>
      <c r="I24" s="3">
        <f t="shared" si="0"/>
        <v>102.1995</v>
      </c>
      <c r="J24" s="3">
        <f>Table135[[#This Row],[Sales]]+Table135[[#This Row],[Tax]]</f>
        <v>783.5295000000001</v>
      </c>
    </row>
    <row r="25" spans="1:10" x14ac:dyDescent="0.25">
      <c r="A25" s="29">
        <v>46023</v>
      </c>
      <c r="B25" s="30" t="s">
        <v>12</v>
      </c>
      <c r="C25" s="30" t="s">
        <v>14</v>
      </c>
      <c r="D25" s="30" t="s">
        <v>15</v>
      </c>
      <c r="E25" s="30" t="s">
        <v>16</v>
      </c>
      <c r="F25" s="30" t="s">
        <v>37</v>
      </c>
      <c r="G25" s="30" t="s">
        <v>42</v>
      </c>
      <c r="H25" s="31">
        <v>15.89</v>
      </c>
      <c r="I25" s="3">
        <f t="shared" si="0"/>
        <v>2.3835000000000002</v>
      </c>
      <c r="J25" s="3">
        <f>Table135[[#This Row],[Sales]]+Table135[[#This Row],[Tax]]</f>
        <v>18.273500000000002</v>
      </c>
    </row>
    <row r="26" spans="1:10" x14ac:dyDescent="0.25">
      <c r="A26" s="29">
        <v>46023</v>
      </c>
      <c r="B26" s="30" t="s">
        <v>13</v>
      </c>
      <c r="C26" s="30" t="s">
        <v>14</v>
      </c>
      <c r="D26" s="30" t="s">
        <v>15</v>
      </c>
      <c r="E26" s="30" t="s">
        <v>16</v>
      </c>
      <c r="F26" s="30" t="s">
        <v>38</v>
      </c>
      <c r="G26" s="30" t="s">
        <v>42</v>
      </c>
      <c r="H26" s="31">
        <v>261.35000000000002</v>
      </c>
      <c r="I26" s="3">
        <f t="shared" si="0"/>
        <v>39.202500000000001</v>
      </c>
      <c r="J26" s="3">
        <f>Table135[[#This Row],[Sales]]+Table135[[#This Row],[Tax]]</f>
        <v>300.55250000000001</v>
      </c>
    </row>
  </sheetData>
  <sheetProtection algorithmName="SHA-512" hashValue="LpcBjwWYr12gIcqGHf4Wdav3vfaVzEslUvq8EHVdGu42wCQpG2U7PUcNo8mMyZ91EBsTwaf+fJvq50BrLxctOg==" saltValue="qNf/5dc9Qn6dE53ZWqg/JQ==" spinCount="100000" sheet="1" objects="1" scenarios="1"/>
  <mergeCells count="1">
    <mergeCell ref="A1:XF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00 How to Use</vt:lpstr>
      <vt:lpstr>01 Standards</vt:lpstr>
      <vt:lpstr>02 Sales Data</vt:lpstr>
      <vt:lpstr>03 Calculations</vt:lpstr>
      <vt:lpstr>04 Analysis</vt:lpstr>
      <vt:lpstr>05 Cell Styles</vt:lpstr>
      <vt:lpstr>06 Protection</vt:lpstr>
      <vt:lpstr>Sales_Tax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2026-08-19T09:12:19Z</dcterms:modified>
</cp:coreProperties>
</file>