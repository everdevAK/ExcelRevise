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ExternalRevisionFiles\"/>
    </mc:Choice>
  </mc:AlternateContent>
  <xr:revisionPtr revIDLastSave="0" documentId="13_ncr:1_{FAE4A909-A732-4E53-A23F-FCB023B5701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essy_Data" sheetId="1" r:id="rId1"/>
    <sheet name="Sheet1" sheetId="3" r:id="rId2"/>
    <sheet name="Cleangin Data" sheetId="2" r:id="rId3"/>
  </sheets>
  <definedNames>
    <definedName name="Product">'Cleangin Data'!$S$6</definedName>
    <definedName name="Region">'Cleangin Data'!$T$6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2" l="1" a="1"/>
  <c r="S12" i="2" a="1"/>
  <c r="W4" i="2" a="1"/>
  <c r="V4" i="2" a="1"/>
  <c r="U2" i="2"/>
  <c r="N2" i="2"/>
  <c r="O2" i="2" s="1"/>
  <c r="P2" i="2" s="1"/>
  <c r="Q2" i="2" s="1" a="1"/>
  <c r="N3" i="2"/>
  <c r="O3" i="2" s="1"/>
  <c r="P3" i="2" s="1"/>
  <c r="Q3" i="2" s="1" a="1"/>
  <c r="N4" i="2"/>
  <c r="O4" i="2" s="1"/>
  <c r="P4" i="2" s="1"/>
  <c r="Q4" i="2" s="1" a="1"/>
  <c r="N5" i="2"/>
  <c r="O5" i="2" s="1"/>
  <c r="P5" i="2" s="1"/>
  <c r="Q5" i="2" s="1" a="1"/>
  <c r="N6" i="2"/>
  <c r="O6" i="2" s="1"/>
  <c r="P6" i="2" s="1"/>
  <c r="Q6" i="2" s="1" a="1"/>
  <c r="N7" i="2"/>
  <c r="N8" i="2"/>
  <c r="O8" i="2" s="1"/>
  <c r="P8" i="2" s="1"/>
  <c r="Q8" i="2" s="1" a="1"/>
  <c r="N9" i="2"/>
  <c r="O9" i="2" s="1"/>
  <c r="P9" i="2" s="1"/>
  <c r="Q9" i="2" s="1" a="1"/>
  <c r="N10" i="2"/>
  <c r="O10" i="2" s="1"/>
  <c r="P10" i="2" s="1"/>
  <c r="Q10" i="2" s="1" a="1"/>
  <c r="N11" i="2"/>
  <c r="O11" i="2" s="1"/>
  <c r="P11" i="2" s="1"/>
  <c r="Q11" i="2" s="1" a="1"/>
  <c r="N12" i="2"/>
  <c r="O12" i="2" s="1"/>
  <c r="P12" i="2" s="1"/>
  <c r="Q12" i="2" s="1" a="1"/>
  <c r="N13" i="2"/>
  <c r="O13" i="2" s="1"/>
  <c r="P13" i="2" s="1"/>
  <c r="Q13" i="2" s="1" a="1"/>
  <c r="N14" i="2"/>
  <c r="O14" i="2" s="1"/>
  <c r="P14" i="2" s="1"/>
  <c r="Q14" i="2" s="1" a="1"/>
  <c r="N15" i="2"/>
  <c r="O15" i="2" s="1"/>
  <c r="P15" i="2" s="1"/>
  <c r="Q15" i="2" s="1" a="1"/>
  <c r="N16" i="2"/>
  <c r="O16" i="2" s="1"/>
  <c r="P16" i="2" s="1"/>
  <c r="Q16" i="2" s="1" a="1"/>
  <c r="N17" i="2"/>
  <c r="O17" i="2" s="1"/>
  <c r="P17" i="2" s="1"/>
  <c r="Q17" i="2" s="1" a="1"/>
  <c r="N18" i="2"/>
  <c r="O18" i="2" s="1"/>
  <c r="P18" i="2" s="1"/>
  <c r="Q18" i="2" s="1" a="1"/>
  <c r="N19" i="2"/>
  <c r="O19" i="2" s="1"/>
  <c r="P19" i="2" s="1"/>
  <c r="Q19" i="2" s="1" a="1"/>
  <c r="N20" i="2"/>
  <c r="N21" i="2"/>
  <c r="O21" i="2" s="1"/>
  <c r="P21" i="2" s="1"/>
  <c r="Q21" i="2" s="1" a="1"/>
  <c r="N22" i="2"/>
  <c r="O22" i="2" s="1"/>
  <c r="P22" i="2" s="1"/>
  <c r="Q22" i="2" s="1" a="1"/>
  <c r="N23" i="2"/>
  <c r="O23" i="2" s="1"/>
  <c r="P23" i="2" s="1"/>
  <c r="Q23" i="2" s="1" a="1"/>
  <c r="N24" i="2"/>
  <c r="O24" i="2" s="1"/>
  <c r="P24" i="2" s="1"/>
  <c r="Q24" i="2" s="1" a="1"/>
  <c r="N25" i="2"/>
  <c r="O25" i="2" s="1"/>
  <c r="P25" i="2" s="1"/>
  <c r="Q25" i="2" s="1" a="1"/>
  <c r="O7" i="2" l="1"/>
  <c r="P7" i="2" s="1"/>
  <c r="Q7" i="2" s="1" a="1"/>
  <c r="O20" i="2"/>
  <c r="P20" i="2" s="1"/>
  <c r="Q20" i="2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<sst xmlns="http://schemas.openxmlformats.org/spreadsheetml/2006/main" count="482" uniqueCount="109">
  <si>
    <t>Date</t>
  </si>
  <si>
    <t>Order ID</t>
  </si>
  <si>
    <t>Employee</t>
  </si>
  <si>
    <t>Department</t>
  </si>
  <si>
    <t xml:space="preserve">Region </t>
  </si>
  <si>
    <t>Customer</t>
  </si>
  <si>
    <t>Product</t>
  </si>
  <si>
    <t>Category</t>
  </si>
  <si>
    <t>Qty</t>
  </si>
  <si>
    <t xml:space="preserve">Unit Price </t>
  </si>
  <si>
    <t>Discount %</t>
  </si>
  <si>
    <t>Payment Mode</t>
  </si>
  <si>
    <t>Status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</si>
  <si>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</si>
  <si>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</si>
  <si>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</si>
  <si>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</si>
  <si>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</si>
  <si>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</si>
  <si>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</si>
  <si>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</si>
  <si>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</si>
  <si>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</si>
  <si>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</si>
  <si>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</si>
  <si>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</si>
  <si>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</si>
  <si>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</si>
  <si>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</si>
  <si>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</si>
  <si>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</si>
  <si>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</si>
  <si>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</si>
  <si>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</si>
  <si>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</si>
  <si>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</si>
  <si>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</si>
  <si>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Leon Kenedy</t>
  </si>
  <si>
    <t>Deborah Ashby</t>
  </si>
  <si>
    <t>Adam Lacey</t>
  </si>
  <si>
    <t>Ben Lee</t>
  </si>
  <si>
    <t>Sarah Jones</t>
  </si>
  <si>
    <t>Olivia Green</t>
  </si>
  <si>
    <t>Ming Sia</t>
  </si>
  <si>
    <t>David Patterson</t>
  </si>
  <si>
    <t>Chloe Newbury</t>
  </si>
  <si>
    <t>Mrtin Waters</t>
  </si>
  <si>
    <t>Julie Tavistock</t>
  </si>
  <si>
    <t>Kurt Webster</t>
  </si>
  <si>
    <t>Lucy Matthews</t>
  </si>
  <si>
    <t>Patric Barker</t>
  </si>
  <si>
    <t>Terry Abbott</t>
  </si>
  <si>
    <t>Jorge Waters</t>
  </si>
  <si>
    <t>Ada Wang</t>
  </si>
  <si>
    <t>Ashley Grahm</t>
  </si>
  <si>
    <t>Pedro Costa</t>
  </si>
  <si>
    <t>Tina Ray</t>
  </si>
  <si>
    <t>Abel Ballard</t>
  </si>
  <si>
    <t>Gretchen Williams</t>
  </si>
  <si>
    <t>Jordan Rodgers</t>
  </si>
  <si>
    <t>Tomas Barnett</t>
  </si>
  <si>
    <t>Sales</t>
  </si>
  <si>
    <t>Finance</t>
  </si>
  <si>
    <t>los angeles</t>
  </si>
  <si>
    <t>Los Angeles</t>
  </si>
  <si>
    <t>NYC</t>
  </si>
  <si>
    <t>Mayami</t>
  </si>
  <si>
    <t>LOS ANGELES</t>
  </si>
  <si>
    <t>Nyc</t>
  </si>
  <si>
    <t>mayami</t>
  </si>
  <si>
    <t>ABC Ltd</t>
  </si>
  <si>
    <t>XYZ Pvt Ltd</t>
  </si>
  <si>
    <t>PQR Ltd</t>
  </si>
  <si>
    <t>LMN Corp</t>
  </si>
  <si>
    <t>DEF Ltd</t>
  </si>
  <si>
    <t>GHI Ltd</t>
  </si>
  <si>
    <t>JKL Ltd</t>
  </si>
  <si>
    <t>MNO Ltd</t>
  </si>
  <si>
    <t>Laptop</t>
  </si>
  <si>
    <t>Monitor</t>
  </si>
  <si>
    <t>Keyboard</t>
  </si>
  <si>
    <t>Ofiice Chair</t>
  </si>
  <si>
    <t>Printer</t>
  </si>
  <si>
    <t>Mouse</t>
  </si>
  <si>
    <t>Desk</t>
  </si>
  <si>
    <t>Electronics</t>
  </si>
  <si>
    <t>electronics</t>
  </si>
  <si>
    <t>Accessories</t>
  </si>
  <si>
    <t>Furniture</t>
  </si>
  <si>
    <t>furniture</t>
  </si>
  <si>
    <t>UPI</t>
  </si>
  <si>
    <t>Card</t>
  </si>
  <si>
    <t>Cash</t>
  </si>
  <si>
    <t>Completed</t>
  </si>
  <si>
    <t>completed</t>
  </si>
  <si>
    <t>Pending</t>
  </si>
  <si>
    <t>Hr</t>
  </si>
  <si>
    <t>HR</t>
  </si>
  <si>
    <t>Region</t>
  </si>
  <si>
    <t>N/A</t>
  </si>
  <si>
    <t>Total Amount</t>
  </si>
  <si>
    <t>Discount Amount</t>
  </si>
  <si>
    <t xml:space="preserve"> Grand Total</t>
  </si>
  <si>
    <t>incentive</t>
  </si>
  <si>
    <t xml:space="preserve"> </t>
  </si>
  <si>
    <t>Row Labels</t>
  </si>
  <si>
    <t>Grand Total</t>
  </si>
  <si>
    <t>Sum of  Grand Total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</si>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</sst>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2" borderId="1" applyNumberFormat="0" applyAlignment="0" applyProtection="0"/>
  </cellStyleXfs>
  <cellXfs count="21">
    <xf numFmtId="0" fontId="0" fillId="0" borderId="0" xfId="0"/>
    <xf numFmtId="14" fontId="0" fillId="0" borderId="0" xfId="0" applyNumberFormat="1"/>
    <xf numFmtId="15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5" fillId="3" borderId="0" xfId="0" applyNumberFormat="1" applyFont="1" applyFill="1"/>
    <xf numFmtId="0" fontId="5" fillId="3" borderId="0" xfId="0" applyFont="1" applyFill="1"/>
    <xf numFmtId="44" fontId="4" fillId="2" borderId="1" xfId="2" applyNumberFormat="1"/>
    <xf numFmtId="0" fontId="4" fillId="2" borderId="1" xfId="2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Border="1" applyAlignment="1">
      <alignment horizontal="center"/>
    </xf>
  </cellXfs>
  <cellStyles count="3">
    <cellStyle name="Calculation" xfId="2" builtinId="22"/>
    <cellStyle name="Currency" xfId="1" builtinId="4"/>
    <cellStyle name="Normal" xfId="0" builtinId="0"/>
  </cellStyles>
  <dxfs count="24">
    <dxf>
      <font>
        <b/>
        <i val="0"/>
        <color rgb="FFC00000"/>
      </font>
    </dxf>
    <dxf>
      <font>
        <b/>
        <i val="0"/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alignment horizont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3" formatCode="0%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m/d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[Office_Work_Simulation.xlsx]Sheet1!PivotTable1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Sheet1!$A$4:$A$10</c:f>
              <c:multiLvlStrCache>
                <c:ptCount val="4"/>
                <c:lvl>
                  <c:pt idx="0">
                    <c:v>Cash</c:v>
                  </c:pt>
                  <c:pt idx="1">
                    <c:v>UPI</c:v>
                  </c:pt>
                  <c:pt idx="2">
                    <c:v>Card</c:v>
                  </c:pt>
                  <c:pt idx="3">
                    <c:v>UPI</c:v>
                  </c:pt>
                </c:lvl>
                <c:lvl>
                  <c:pt idx="0">
                    <c:v>los angeles</c:v>
                  </c:pt>
                  <c:pt idx="2">
                    <c:v>Mayami</c:v>
                  </c:pt>
                </c:lvl>
              </c:multiLvlStrCache>
            </c:multiLvlStrRef>
          </c:cat>
          <c:val>
            <c:numRef>
              <c:f>Sheet1!$B$4:$B$10</c:f>
              <c:numCache>
                <c:formatCode>General</c:formatCode>
                <c:ptCount val="4"/>
                <c:pt idx="0">
                  <c:v>171000</c:v>
                </c:pt>
                <c:pt idx="1">
                  <c:v>21600</c:v>
                </c:pt>
                <c:pt idx="2">
                  <c:v>32400</c:v>
                </c:pt>
                <c:pt idx="3">
                  <c:v>110400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1-4146-8028-136E0817F4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12535200"/>
        <c:axId val="867085104"/>
      </c:barChart>
      <c:catAx>
        <c:axId val="111253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85104"/>
        <c:crosses val="autoZero"/>
        <c:auto val="1"/>
        <c:lblAlgn val="ctr"/>
        <c:lblOffset val="100"/>
        <c:noMultiLvlLbl val="0"/>
      </c:catAx>
      <c:valAx>
        <c:axId val="8670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222E7-6F4A-ADB3-4234-3FE64A101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ork" refreshedDate="46292.103371527781" createdVersion="8" refreshedVersion="8" minRefreshableVersion="3" recordCount="24" xr:uid="{6A1CB093-D4A0-4E9C-BF8D-7D746DA2B071}">
  <cacheSource type="worksheet">
    <worksheetSource name="Table1"/>
  </cacheSource>
  <cacheFields count="17">
    <cacheField name="Date" numFmtId="14">
      <sharedItems containsSemiMixedTypes="0" containsNonDate="0" containsDate="1" containsString="0" minDate="2026-01-01T00:00:00" maxDate="2026-01-25T00:00:00"/>
    </cacheField>
    <cacheField name="Order ID" numFmtId="0">
      <sharedItems/>
    </cacheField>
    <cacheField name="Employee" numFmtId="0">
      <sharedItems/>
    </cacheField>
    <cacheField name="Department" numFmtId="0">
      <sharedItems/>
    </cacheField>
    <cacheField name="Region" numFmtId="0">
      <sharedItems count="3">
        <s v="los angeles"/>
        <s v="Mayami"/>
        <s v="Nyc"/>
      </sharedItems>
    </cacheField>
    <cacheField name="Customer" numFmtId="0">
      <sharedItems/>
    </cacheField>
    <cacheField name="Product" numFmtId="0">
      <sharedItems count="7">
        <s v="Laptop"/>
        <s v="Monitor"/>
        <s v="Keyboard"/>
        <s v="Ofiice Chair"/>
        <s v="Printer"/>
        <s v="Mouse"/>
        <s v="Desk"/>
      </sharedItems>
    </cacheField>
    <cacheField name="Category" numFmtId="0">
      <sharedItems/>
    </cacheField>
    <cacheField name="Qty" numFmtId="0">
      <sharedItems containsMixedTypes="1" containsNumber="1" containsInteger="1" minValue="1" maxValue="15"/>
    </cacheField>
    <cacheField name="Unit Price " numFmtId="44">
      <sharedItems containsSemiMixedTypes="0" containsString="0" containsNumber="1" containsInteger="1" minValue="800" maxValue="55000"/>
    </cacheField>
    <cacheField name="Discount %" numFmtId="0">
      <sharedItems containsMixedTypes="1" containsNumber="1" minValue="0" maxValue="0.1"/>
    </cacheField>
    <cacheField name="Payment Mode" numFmtId="0">
      <sharedItems count="3">
        <s v="UPI"/>
        <s v="Card"/>
        <s v="Cash"/>
      </sharedItems>
    </cacheField>
    <cacheField name="Status" numFmtId="0">
      <sharedItems/>
    </cacheField>
    <cacheField name="Total Amount" numFmtId="44">
      <sharedItems containsMixedTypes="1" containsNumber="1" containsInteger="1" minValue="1500" maxValue="275000"/>
    </cacheField>
    <cacheField name="Discount Amount" numFmtId="44">
      <sharedItems containsMixedTypes="1" containsNumber="1" minValue="0" maxValue="27500"/>
    </cacheField>
    <cacheField name=" Grand Total" numFmtId="44">
      <sharedItems containsMixedTypes="1" containsNumber="1" containsInteger="1" minValue="4320" maxValue="247500"/>
    </cacheField>
    <cacheField name="incenti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6-01-01T00:00:00"/>
    <s v="ORD001"/>
    <s v="Leon Kenedy"/>
    <s v="Sales"/>
    <x v="0"/>
    <s v="ABC Ltd"/>
    <x v="0"/>
    <s v="Electronics"/>
    <n v="2"/>
    <n v="55000"/>
    <n v="0.05"/>
    <x v="0"/>
    <s v="Completed"/>
    <n v="110000"/>
    <n v="5500"/>
    <n v="104500"/>
    <s v="Incentive"/>
  </r>
  <r>
    <d v="2026-01-02T00:00:00"/>
    <s v="ORD002"/>
    <s v="Deborah Ashby"/>
    <s v="Sales"/>
    <x v="1"/>
    <s v="XYZ Pvt Ltd"/>
    <x v="1"/>
    <s v="Electronics"/>
    <n v="3"/>
    <n v="12000"/>
    <n v="0.1"/>
    <x v="1"/>
    <s v="Completed"/>
    <n v="36000"/>
    <n v="3600"/>
    <n v="32400"/>
    <s v="No Incentive"/>
  </r>
  <r>
    <d v="2026-01-03T00:00:00"/>
    <s v="ORD003"/>
    <s v="Adam Lacey"/>
    <s v="Sales"/>
    <x v="0"/>
    <s v="PQR Ltd"/>
    <x v="2"/>
    <s v="Accessories"/>
    <n v="5"/>
    <n v="1500"/>
    <n v="0"/>
    <x v="2"/>
    <s v="Pending"/>
    <n v="7500"/>
    <n v="0"/>
    <n v="7500"/>
    <s v="No Incentive"/>
  </r>
  <r>
    <d v="2026-01-04T00:00:00"/>
    <s v="ORD004"/>
    <s v="Ben Lee"/>
    <s v="Hr"/>
    <x v="1"/>
    <s v="LMN Corp"/>
    <x v="3"/>
    <s v="Furniture"/>
    <n v="4"/>
    <n v="8500"/>
    <n v="0.05"/>
    <x v="0"/>
    <s v="Completed"/>
    <n v="34000"/>
    <n v="1700"/>
    <n v="32300"/>
    <s v="No Incentive"/>
  </r>
  <r>
    <d v="2026-01-05T00:00:00"/>
    <s v="ORD005"/>
    <s v="Sarah Jones"/>
    <s v="Sales"/>
    <x v="0"/>
    <s v="ABC Ltd"/>
    <x v="0"/>
    <s v="Electronics"/>
    <n v="1"/>
    <n v="55000"/>
    <n v="0.05"/>
    <x v="0"/>
    <s v="Completed"/>
    <n v="55000"/>
    <n v="2750"/>
    <n v="52250"/>
    <s v="Incentive"/>
  </r>
  <r>
    <d v="2026-01-06T00:00:00"/>
    <s v="ORD006"/>
    <s v="Olivia Green"/>
    <s v="Sales"/>
    <x v="2"/>
    <s v="DEF Ltd"/>
    <x v="4"/>
    <s v="Electronics"/>
    <s v="N/A"/>
    <n v="18000"/>
    <n v="0.08"/>
    <x v="1"/>
    <s v="Pending"/>
    <s v="Not Found"/>
    <s v="Not Found"/>
    <s v="Not Found"/>
    <s v="Not Found"/>
  </r>
  <r>
    <d v="2026-01-07T00:00:00"/>
    <s v="ORD007"/>
    <s v="Ming Sia"/>
    <s v="Finance"/>
    <x v="1"/>
    <s v="GHI Ltd"/>
    <x v="5"/>
    <s v="Accessories"/>
    <n v="10"/>
    <n v="800"/>
    <n v="0"/>
    <x v="2"/>
    <s v="Completed"/>
    <n v="8000"/>
    <n v="0"/>
    <n v="8000"/>
    <s v="No Incentive"/>
  </r>
  <r>
    <d v="2026-01-08T00:00:00"/>
    <s v="ORD008"/>
    <s v="David Patterson"/>
    <s v="Hr"/>
    <x v="0"/>
    <s v="JKL Ltd"/>
    <x v="6"/>
    <s v="Furniture"/>
    <n v="2"/>
    <n v="12500"/>
    <n v="0.1"/>
    <x v="0"/>
    <s v="Completed"/>
    <n v="25000"/>
    <n v="2500"/>
    <n v="22500"/>
    <s v="No Incentive"/>
  </r>
  <r>
    <d v="2026-01-09T00:00:00"/>
    <s v="ORD009"/>
    <s v="Chloe Newbury"/>
    <s v="Sales"/>
    <x v="1"/>
    <s v="MNO Ltd"/>
    <x v="0"/>
    <s v="Electronics"/>
    <n v="2"/>
    <n v="55000"/>
    <n v="7.0000000000000007E-2"/>
    <x v="1"/>
    <s v="Completed"/>
    <n v="110000"/>
    <n v="7700.0000000000009"/>
    <n v="102300"/>
    <s v="Incentive"/>
  </r>
  <r>
    <d v="2026-01-10T00:00:00"/>
    <s v="ORD010"/>
    <s v="Mrtin Waters"/>
    <s v="Sales"/>
    <x v="0"/>
    <s v="XYZ Pvt Ltd"/>
    <x v="1"/>
    <s v="Electronics"/>
    <n v="2"/>
    <n v="12000"/>
    <n v="0.1"/>
    <x v="0"/>
    <s v="Pending"/>
    <n v="24000"/>
    <n v="2400"/>
    <n v="21600"/>
    <s v="No Incentive"/>
  </r>
  <r>
    <d v="2026-01-11T00:00:00"/>
    <s v="ORD011"/>
    <s v="Julie Tavistock"/>
    <s v="Sales"/>
    <x v="2"/>
    <s v="ABC Ltd"/>
    <x v="2"/>
    <s v="Accessories"/>
    <n v="4"/>
    <n v="1500"/>
    <n v="7.0000000000000007E-2"/>
    <x v="2"/>
    <s v="Completed"/>
    <n v="6000"/>
    <n v="420.00000000000006"/>
    <n v="5580"/>
    <s v="No Incentive"/>
  </r>
  <r>
    <d v="2026-01-12T00:00:00"/>
    <s v="ORD012"/>
    <s v="Kurt Webster"/>
    <s v="Hr"/>
    <x v="0"/>
    <s v="XYZ Pvt Ltd"/>
    <x v="3"/>
    <s v="Furniture"/>
    <n v="8"/>
    <n v="8500"/>
    <n v="0.1"/>
    <x v="1"/>
    <s v="Completed"/>
    <n v="68000"/>
    <n v="6800"/>
    <n v="61200"/>
    <s v="Incentive"/>
  </r>
  <r>
    <d v="2026-01-13T00:00:00"/>
    <s v="ORD013"/>
    <s v="Lucy Matthews"/>
    <s v="Finance"/>
    <x v="1"/>
    <s v="PQR Ltd"/>
    <x v="0"/>
    <s v="Electronics"/>
    <n v="3"/>
    <n v="55000"/>
    <n v="0.05"/>
    <x v="0"/>
    <s v="Completed"/>
    <n v="165000"/>
    <n v="8250"/>
    <n v="156750"/>
    <s v="Incentive"/>
  </r>
  <r>
    <d v="2026-01-14T00:00:00"/>
    <s v="ORD014"/>
    <s v="Patric Barker"/>
    <s v="Sales"/>
    <x v="0"/>
    <s v="LMN Corp"/>
    <x v="1"/>
    <s v="Electronics"/>
    <n v="15"/>
    <n v="12000"/>
    <n v="0.05"/>
    <x v="2"/>
    <s v="Pending"/>
    <n v="180000"/>
    <n v="9000"/>
    <n v="171000"/>
    <s v="Incentive"/>
  </r>
  <r>
    <d v="2026-01-15T00:00:00"/>
    <s v="ORD015"/>
    <s v="Terry Abbott"/>
    <s v="Sales"/>
    <x v="2"/>
    <s v="ABC Ltd"/>
    <x v="2"/>
    <s v="Accessories"/>
    <n v="1"/>
    <n v="1500"/>
    <s v="N/A"/>
    <x v="1"/>
    <s v="Completed"/>
    <n v="1500"/>
    <s v="Not Found"/>
    <s v="Not Found"/>
    <s v="Not Found"/>
  </r>
  <r>
    <d v="2026-01-16T00:00:00"/>
    <s v="ORD016"/>
    <s v="Jorge Waters"/>
    <s v="Sales"/>
    <x v="1"/>
    <s v="DEF Ltd"/>
    <x v="3"/>
    <s v="Furniture"/>
    <n v="2"/>
    <n v="8500"/>
    <n v="0.08"/>
    <x v="0"/>
    <s v="Completed"/>
    <n v="17000"/>
    <n v="1360"/>
    <n v="15640"/>
    <s v="No Incentive"/>
  </r>
  <r>
    <d v="2026-01-17T00:00:00"/>
    <s v="ORD017"/>
    <s v="Ada Wang"/>
    <s v="Hr"/>
    <x v="0"/>
    <s v="GHI Ltd"/>
    <x v="0"/>
    <s v="Electronics"/>
    <n v="5"/>
    <n v="55000"/>
    <n v="0.1"/>
    <x v="1"/>
    <s v="Pending"/>
    <n v="275000"/>
    <n v="27500"/>
    <n v="247500"/>
    <s v="Incentive"/>
  </r>
  <r>
    <d v="2026-01-18T00:00:00"/>
    <s v="ORD018"/>
    <s v="Ashley Grahm"/>
    <s v="Finance"/>
    <x v="1"/>
    <s v="JKL Ltd"/>
    <x v="4"/>
    <s v="Electronics"/>
    <n v="1"/>
    <n v="18000"/>
    <n v="0.05"/>
    <x v="0"/>
    <s v="Completed"/>
    <n v="18000"/>
    <n v="900"/>
    <n v="17100"/>
    <s v="No Incentive"/>
  </r>
  <r>
    <d v="2026-01-19T00:00:00"/>
    <s v="ORD019"/>
    <s v="Pedro Costa"/>
    <s v="Sales"/>
    <x v="0"/>
    <s v="MNO Ltd"/>
    <x v="5"/>
    <s v="Accessories"/>
    <n v="6"/>
    <n v="800"/>
    <n v="0.1"/>
    <x v="1"/>
    <s v="Completed"/>
    <n v="4800"/>
    <n v="480"/>
    <n v="4320"/>
    <s v="No Incentive"/>
  </r>
  <r>
    <d v="2026-01-20T00:00:00"/>
    <s v="ORD020"/>
    <s v="Tina Ray"/>
    <s v="Sales"/>
    <x v="2"/>
    <s v="XYZ Pvt Ltd"/>
    <x v="6"/>
    <s v="Furniture"/>
    <n v="3"/>
    <n v="12500"/>
    <s v="N/A"/>
    <x v="2"/>
    <s v="Completed"/>
    <n v="37500"/>
    <s v="Not Found"/>
    <s v="Not Found"/>
    <s v="Not Found"/>
  </r>
  <r>
    <d v="2026-01-21T00:00:00"/>
    <s v="ORD021"/>
    <s v="Abel Ballard"/>
    <s v="Sales"/>
    <x v="0"/>
    <s v="ABC Ltd"/>
    <x v="0"/>
    <s v="Electronics"/>
    <n v="2"/>
    <n v="55000"/>
    <n v="7.0000000000000007E-2"/>
    <x v="1"/>
    <s v="Pending"/>
    <n v="110000"/>
    <n v="7700.0000000000009"/>
    <n v="102300"/>
    <s v="Incentive"/>
  </r>
  <r>
    <d v="2026-01-22T00:00:00"/>
    <s v="ORD022"/>
    <s v="Gretchen Williams"/>
    <s v="Hr"/>
    <x v="1"/>
    <s v="XYZ Pvt Ltd"/>
    <x v="1"/>
    <s v="Electronics"/>
    <n v="10"/>
    <n v="12000"/>
    <n v="0.08"/>
    <x v="0"/>
    <s v="Completed"/>
    <n v="120000"/>
    <n v="9600"/>
    <n v="110400"/>
    <s v="Incentive"/>
  </r>
  <r>
    <d v="2026-01-23T00:00:00"/>
    <s v="ORD023"/>
    <s v="Jordan Rodgers"/>
    <s v="Finance"/>
    <x v="0"/>
    <s v="PQR Ltd"/>
    <x v="2"/>
    <s v="Accessories"/>
    <n v="4"/>
    <n v="1500"/>
    <n v="0.05"/>
    <x v="0"/>
    <s v="Pending"/>
    <n v="6000"/>
    <n v="300"/>
    <n v="5700"/>
    <s v="No Incentive"/>
  </r>
  <r>
    <d v="2026-01-24T00:00:00"/>
    <s v="ORD024"/>
    <s v="Tomas Barnett"/>
    <s v="Sales"/>
    <x v="2"/>
    <s v="LMN Corp"/>
    <x v="3"/>
    <s v="Furniture"/>
    <n v="3"/>
    <n v="8500"/>
    <n v="0.06"/>
    <x v="2"/>
    <s v="Completed"/>
    <n v="25500"/>
    <n v="1530"/>
    <n v="23970"/>
    <s v="No Incen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FE7AA-03C5-48E6-AD57-0FF2616812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 rowPageCount="1" colPageCount="1"/>
  <pivotFields count="17"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Page" showAll="0">
      <items count="8">
        <item x="6"/>
        <item x="2"/>
        <item x="0"/>
        <item x="1"/>
        <item x="5"/>
        <item x="3"/>
        <item x="4"/>
        <item t="default"/>
      </items>
    </pivotField>
    <pivotField showAll="0"/>
    <pivotField showAll="0"/>
    <pivotField numFmtId="4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4"/>
    <field x="11"/>
  </rowFields>
  <rowItems count="7">
    <i>
      <x/>
    </i>
    <i r="1">
      <x v="1"/>
    </i>
    <i r="1">
      <x v="2"/>
    </i>
    <i>
      <x v="1"/>
    </i>
    <i r="1">
      <x/>
    </i>
    <i r="1">
      <x v="2"/>
    </i>
    <i t="grand">
      <x/>
    </i>
  </rowItems>
  <colItems count="1">
    <i/>
  </colItems>
  <pageFields count="1">
    <pageField fld="6" item="3" hier="-1"/>
  </pageFields>
  <dataFields count="1">
    <dataField name="Sum of  Grand Total" fld="1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F719D-369B-4416-95E3-BCB20930EC99}" name="Table1" displayName="Table1" ref="A1:Q25" totalsRowShown="0" headerRowDxfId="23" dataDxfId="22">
  <autoFilter ref="A1:Q25" xr:uid="{FC2F719D-369B-4416-95E3-BCB20930EC99}"/>
  <tableColumns count="17">
    <tableColumn id="1" xr3:uid="{E46F01D2-282C-4575-BC9E-AE578BA4434C}" name="Date" dataDxfId="21"/>
    <tableColumn id="2" xr3:uid="{27A087C2-DE1F-4D5C-8F59-A61B06147F45}" name="Order ID" dataDxfId="20"/>
    <tableColumn id="3" xr3:uid="{9135ECF6-B066-4CF2-8347-71941801A055}" name="Employee" dataDxfId="19"/>
    <tableColumn id="4" xr3:uid="{3A8030FA-2A12-45E0-A9D3-6A94A96F68FF}" name="Department" dataDxfId="18"/>
    <tableColumn id="5" xr3:uid="{EE200165-CAD4-4422-A400-5D163CF70909}" name="Region" dataDxfId="17"/>
    <tableColumn id="6" xr3:uid="{CE1E903A-BCE9-4D3D-B8B2-59E27955FB81}" name="Customer" dataDxfId="16"/>
    <tableColumn id="7" xr3:uid="{6DA21E27-BD4B-42C4-A88B-66B0524589B3}" name="Product" dataDxfId="15"/>
    <tableColumn id="8" xr3:uid="{5FC9A247-D7D0-47DF-8E8F-D052AFE45E25}" name="Category" dataDxfId="14"/>
    <tableColumn id="9" xr3:uid="{DA77D949-75AA-4A2E-8E76-19C5E7A2BD93}" name="Qty" dataDxfId="13"/>
    <tableColumn id="10" xr3:uid="{2EEBE884-5416-4268-AC5F-BE8763812A57}" name="Unit Price " dataDxfId="12" dataCellStyle="Currency"/>
    <tableColumn id="11" xr3:uid="{C5BDE75E-3EAC-4A4F-8DE4-3EC625AC7A92}" name="Discount %" dataDxfId="11"/>
    <tableColumn id="12" xr3:uid="{B9D440EF-F091-4153-B2D0-AC0AA2F8DB6A}" name="Payment Mode" dataDxfId="10"/>
    <tableColumn id="13" xr3:uid="{5B3302A0-B8B3-4C70-B07A-A7DE67B70FC6}" name="Status" dataDxfId="9"/>
    <tableColumn id="16" xr3:uid="{C672D366-893C-46C1-BD68-510261085275}" name="Total Amount" dataDxfId="8" dataCellStyle="Currency">
      <calculatedColumnFormula>IFERROR(Table1[[#This Row],[Qty]]*Table1[[#This Row],[Unit Price ]], "Not Found")</calculatedColumnFormula>
    </tableColumn>
    <tableColumn id="15" xr3:uid="{BDBDB29A-F1B4-4151-AC47-7AAC7691A087}" name="Discount Amount" dataDxfId="7">
      <calculatedColumnFormula>IFERROR(Table1[[#This Row],[Total Amount]]*Table1[[#This Row],[Discount %]], "Not Found")</calculatedColumnFormula>
    </tableColumn>
    <tableColumn id="14" xr3:uid="{8F2834B9-C3C4-45B4-AB1B-8093BE8CA393}" name=" Grand Total" dataDxfId="6">
      <calculatedColumnFormula>IFERROR(Table1[[#This Row],[Total Amount]]-Table1[[#This Row],[Discount Amount]], "Not Found")</calculatedColumnFormula>
    </tableColumn>
    <tableColumn id="17" xr3:uid="{2801F992-34BC-46C2-84B5-C6E2A376237B}" name="incentive" dataDxfId="5">
      <calculatedColumnFormula array="1">_xlfn.IFS(Table1[[#This Row],[ Grand Total]]="Not Found", "Not Found", Table1[[#This Row],[ Grand Total]]&gt;50000, "Incentive", TRUE, "No Incentive")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zoomScaleNormal="100" workbookViewId="0">
      <selection activeCell="C11" sqref="A1:M25"/>
    </sheetView>
  </sheetViews>
  <sheetFormatPr defaultRowHeight="15" x14ac:dyDescent="0.25"/>
  <cols>
    <col min="1" max="2" width="15.5703125" customWidth="1"/>
    <col min="3" max="3" width="19.42578125" customWidth="1"/>
    <col min="4" max="13" width="15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46023</v>
      </c>
      <c r="B2" t="s">
        <v>13</v>
      </c>
      <c r="C2" t="s">
        <v>37</v>
      </c>
      <c r="D2" t="s">
        <v>61</v>
      </c>
      <c r="E2" t="s">
        <v>64</v>
      </c>
      <c r="F2" t="s">
        <v>70</v>
      </c>
      <c r="G2" t="s">
        <v>78</v>
      </c>
      <c r="H2" t="s">
        <v>85</v>
      </c>
      <c r="I2">
        <v>2</v>
      </c>
      <c r="J2">
        <v>55000</v>
      </c>
      <c r="K2" s="3">
        <v>0.05</v>
      </c>
      <c r="L2" t="s">
        <v>90</v>
      </c>
      <c r="M2" t="s">
        <v>93</v>
      </c>
    </row>
    <row r="3" spans="1:13" x14ac:dyDescent="0.25">
      <c r="A3" s="1">
        <v>46024</v>
      </c>
      <c r="B3" t="s">
        <v>14</v>
      </c>
      <c r="C3" t="s">
        <v>38</v>
      </c>
      <c r="D3" t="s">
        <v>61</v>
      </c>
      <c r="E3" t="s">
        <v>65</v>
      </c>
      <c r="F3" t="s">
        <v>71</v>
      </c>
      <c r="G3" t="s">
        <v>79</v>
      </c>
      <c r="H3" t="s">
        <v>86</v>
      </c>
      <c r="I3">
        <v>3</v>
      </c>
      <c r="J3">
        <v>12000</v>
      </c>
      <c r="K3" s="3">
        <v>0.1</v>
      </c>
      <c r="L3" t="s">
        <v>91</v>
      </c>
      <c r="M3" t="s">
        <v>94</v>
      </c>
    </row>
    <row r="4" spans="1:13" x14ac:dyDescent="0.25">
      <c r="A4" s="2">
        <v>46025</v>
      </c>
      <c r="B4" t="s">
        <v>15</v>
      </c>
      <c r="C4" t="s">
        <v>39</v>
      </c>
      <c r="D4" t="s">
        <v>61</v>
      </c>
      <c r="E4" t="s">
        <v>63</v>
      </c>
      <c r="F4" t="s">
        <v>72</v>
      </c>
      <c r="G4" t="s">
        <v>80</v>
      </c>
      <c r="H4" t="s">
        <v>87</v>
      </c>
      <c r="I4">
        <v>5</v>
      </c>
      <c r="J4">
        <v>1500</v>
      </c>
      <c r="K4" s="3">
        <v>0</v>
      </c>
      <c r="L4" t="s">
        <v>92</v>
      </c>
      <c r="M4" t="s">
        <v>95</v>
      </c>
    </row>
    <row r="5" spans="1:13" x14ac:dyDescent="0.25">
      <c r="A5" s="1">
        <v>46026</v>
      </c>
      <c r="B5" t="s">
        <v>16</v>
      </c>
      <c r="C5" t="s">
        <v>40</v>
      </c>
      <c r="D5" t="s">
        <v>96</v>
      </c>
      <c r="E5" t="s">
        <v>66</v>
      </c>
      <c r="F5" t="s">
        <v>73</v>
      </c>
      <c r="G5" t="s">
        <v>81</v>
      </c>
      <c r="H5" t="s">
        <v>88</v>
      </c>
      <c r="I5">
        <v>4</v>
      </c>
      <c r="J5">
        <v>8500</v>
      </c>
      <c r="K5" s="3">
        <v>0.05</v>
      </c>
      <c r="L5" t="s">
        <v>90</v>
      </c>
      <c r="M5" t="s">
        <v>93</v>
      </c>
    </row>
    <row r="6" spans="1:13" x14ac:dyDescent="0.25">
      <c r="A6" s="1">
        <v>46027</v>
      </c>
      <c r="B6" t="s">
        <v>17</v>
      </c>
      <c r="C6" t="s">
        <v>41</v>
      </c>
      <c r="D6" t="s">
        <v>61</v>
      </c>
      <c r="E6" t="s">
        <v>67</v>
      </c>
      <c r="F6" t="s">
        <v>70</v>
      </c>
      <c r="G6" t="s">
        <v>78</v>
      </c>
      <c r="H6" t="s">
        <v>85</v>
      </c>
      <c r="I6">
        <v>1</v>
      </c>
      <c r="J6">
        <v>55000</v>
      </c>
      <c r="K6" s="3">
        <v>0.05</v>
      </c>
      <c r="L6" t="s">
        <v>90</v>
      </c>
      <c r="M6" t="s">
        <v>93</v>
      </c>
    </row>
    <row r="7" spans="1:13" x14ac:dyDescent="0.25">
      <c r="A7" s="1">
        <v>46028</v>
      </c>
      <c r="B7" t="s">
        <v>18</v>
      </c>
      <c r="C7" t="s">
        <v>42</v>
      </c>
      <c r="D7" t="s">
        <v>61</v>
      </c>
      <c r="E7" t="s">
        <v>68</v>
      </c>
      <c r="F7" t="s">
        <v>74</v>
      </c>
      <c r="G7" t="s">
        <v>82</v>
      </c>
      <c r="H7" t="s">
        <v>85</v>
      </c>
      <c r="J7">
        <v>18000</v>
      </c>
      <c r="K7" s="3">
        <v>0.08</v>
      </c>
      <c r="L7" t="s">
        <v>91</v>
      </c>
      <c r="M7" t="s">
        <v>95</v>
      </c>
    </row>
    <row r="8" spans="1:13" x14ac:dyDescent="0.25">
      <c r="A8" s="1">
        <v>46029</v>
      </c>
      <c r="B8" t="s">
        <v>19</v>
      </c>
      <c r="C8" t="s">
        <v>43</v>
      </c>
      <c r="D8" t="s">
        <v>62</v>
      </c>
      <c r="E8" t="s">
        <v>66</v>
      </c>
      <c r="F8" t="s">
        <v>75</v>
      </c>
      <c r="G8" t="s">
        <v>83</v>
      </c>
      <c r="H8" t="s">
        <v>87</v>
      </c>
      <c r="I8">
        <v>10</v>
      </c>
      <c r="J8">
        <v>800</v>
      </c>
      <c r="K8" s="3">
        <v>0</v>
      </c>
      <c r="L8" t="s">
        <v>92</v>
      </c>
      <c r="M8" t="s">
        <v>93</v>
      </c>
    </row>
    <row r="9" spans="1:13" x14ac:dyDescent="0.25">
      <c r="A9" s="2">
        <v>46030</v>
      </c>
      <c r="B9" t="s">
        <v>20</v>
      </c>
      <c r="C9" t="s">
        <v>44</v>
      </c>
      <c r="D9" t="s">
        <v>96</v>
      </c>
      <c r="E9" t="s">
        <v>64</v>
      </c>
      <c r="F9" t="s">
        <v>76</v>
      </c>
      <c r="G9" t="s">
        <v>84</v>
      </c>
      <c r="H9" t="s">
        <v>89</v>
      </c>
      <c r="I9">
        <v>2</v>
      </c>
      <c r="J9">
        <v>12500</v>
      </c>
      <c r="K9" s="3">
        <v>0.1</v>
      </c>
      <c r="L9" t="s">
        <v>90</v>
      </c>
      <c r="M9" t="s">
        <v>94</v>
      </c>
    </row>
    <row r="10" spans="1:13" x14ac:dyDescent="0.25">
      <c r="A10" s="1">
        <v>46031</v>
      </c>
      <c r="B10" t="s">
        <v>21</v>
      </c>
      <c r="C10" t="s">
        <v>45</v>
      </c>
      <c r="D10" t="s">
        <v>61</v>
      </c>
      <c r="E10" t="s">
        <v>69</v>
      </c>
      <c r="F10" t="s">
        <v>77</v>
      </c>
      <c r="G10" t="s">
        <v>78</v>
      </c>
      <c r="H10" t="s">
        <v>85</v>
      </c>
      <c r="I10">
        <v>2</v>
      </c>
      <c r="J10">
        <v>55000</v>
      </c>
      <c r="K10" s="3">
        <v>7.0000000000000007E-2</v>
      </c>
      <c r="L10" t="s">
        <v>91</v>
      </c>
      <c r="M10" t="s">
        <v>93</v>
      </c>
    </row>
    <row r="11" spans="1:13" x14ac:dyDescent="0.25">
      <c r="A11" s="1">
        <v>46032</v>
      </c>
      <c r="B11" t="s">
        <v>22</v>
      </c>
      <c r="C11" t="s">
        <v>46</v>
      </c>
      <c r="D11" t="s">
        <v>61</v>
      </c>
      <c r="E11" t="s">
        <v>64</v>
      </c>
      <c r="F11" t="s">
        <v>71</v>
      </c>
      <c r="G11" t="s">
        <v>79</v>
      </c>
      <c r="H11" t="s">
        <v>85</v>
      </c>
      <c r="I11">
        <v>2</v>
      </c>
      <c r="J11">
        <v>12000</v>
      </c>
      <c r="K11" s="3">
        <v>0.1</v>
      </c>
      <c r="L11" t="s">
        <v>90</v>
      </c>
      <c r="M11" t="s">
        <v>95</v>
      </c>
    </row>
    <row r="12" spans="1:13" x14ac:dyDescent="0.25">
      <c r="A12" s="1">
        <v>46033</v>
      </c>
      <c r="B12" t="s">
        <v>23</v>
      </c>
      <c r="C12" t="s">
        <v>47</v>
      </c>
      <c r="D12" t="s">
        <v>61</v>
      </c>
      <c r="E12" t="s">
        <v>65</v>
      </c>
      <c r="F12" t="s">
        <v>70</v>
      </c>
      <c r="G12" t="s">
        <v>80</v>
      </c>
      <c r="H12" t="s">
        <v>87</v>
      </c>
      <c r="I12">
        <v>4</v>
      </c>
      <c r="J12">
        <v>1500</v>
      </c>
      <c r="K12" s="3">
        <v>7.0000000000000007E-2</v>
      </c>
      <c r="L12" t="s">
        <v>92</v>
      </c>
      <c r="M12" t="s">
        <v>93</v>
      </c>
    </row>
    <row r="13" spans="1:13" x14ac:dyDescent="0.25">
      <c r="A13" s="1">
        <v>46034</v>
      </c>
      <c r="B13" t="s">
        <v>24</v>
      </c>
      <c r="C13" t="s">
        <v>48</v>
      </c>
      <c r="D13" t="s">
        <v>96</v>
      </c>
      <c r="E13" t="s">
        <v>63</v>
      </c>
      <c r="F13" t="s">
        <v>71</v>
      </c>
      <c r="G13" t="s">
        <v>81</v>
      </c>
      <c r="H13" t="s">
        <v>88</v>
      </c>
      <c r="I13">
        <v>8</v>
      </c>
      <c r="J13">
        <v>8500</v>
      </c>
      <c r="K13" s="3">
        <v>0.1</v>
      </c>
      <c r="L13" t="s">
        <v>91</v>
      </c>
      <c r="M13" t="s">
        <v>93</v>
      </c>
    </row>
    <row r="14" spans="1:13" x14ac:dyDescent="0.25">
      <c r="A14" s="1">
        <v>46035</v>
      </c>
      <c r="B14" t="s">
        <v>25</v>
      </c>
      <c r="C14" t="s">
        <v>49</v>
      </c>
      <c r="D14" t="s">
        <v>62</v>
      </c>
      <c r="E14" t="s">
        <v>66</v>
      </c>
      <c r="F14" t="s">
        <v>72</v>
      </c>
      <c r="G14" t="s">
        <v>78</v>
      </c>
      <c r="H14" t="s">
        <v>85</v>
      </c>
      <c r="I14">
        <v>3</v>
      </c>
      <c r="J14">
        <v>55000</v>
      </c>
      <c r="K14" s="3">
        <v>0.05</v>
      </c>
      <c r="L14" t="s">
        <v>90</v>
      </c>
      <c r="M14" t="s">
        <v>93</v>
      </c>
    </row>
    <row r="15" spans="1:13" x14ac:dyDescent="0.25">
      <c r="A15" s="2">
        <v>46036</v>
      </c>
      <c r="B15" t="s">
        <v>26</v>
      </c>
      <c r="C15" t="s">
        <v>50</v>
      </c>
      <c r="D15" t="s">
        <v>61</v>
      </c>
      <c r="E15" t="s">
        <v>67</v>
      </c>
      <c r="F15" t="s">
        <v>73</v>
      </c>
      <c r="G15" t="s">
        <v>79</v>
      </c>
      <c r="H15" t="s">
        <v>86</v>
      </c>
      <c r="I15">
        <v>15</v>
      </c>
      <c r="J15">
        <v>12000</v>
      </c>
      <c r="K15" s="3">
        <v>0.05</v>
      </c>
      <c r="L15" t="s">
        <v>92</v>
      </c>
      <c r="M15" t="s">
        <v>95</v>
      </c>
    </row>
    <row r="16" spans="1:13" x14ac:dyDescent="0.25">
      <c r="A16" s="1">
        <v>46037</v>
      </c>
      <c r="B16" t="s">
        <v>27</v>
      </c>
      <c r="C16" t="s">
        <v>51</v>
      </c>
      <c r="D16" t="s">
        <v>61</v>
      </c>
      <c r="E16" t="s">
        <v>68</v>
      </c>
      <c r="F16" t="s">
        <v>70</v>
      </c>
      <c r="G16" t="s">
        <v>80</v>
      </c>
      <c r="H16" t="s">
        <v>87</v>
      </c>
      <c r="I16">
        <v>1</v>
      </c>
      <c r="J16">
        <v>1500</v>
      </c>
      <c r="K16" s="3">
        <v>0</v>
      </c>
      <c r="L16" t="s">
        <v>91</v>
      </c>
      <c r="M16" t="s">
        <v>93</v>
      </c>
    </row>
    <row r="17" spans="1:13" x14ac:dyDescent="0.25">
      <c r="A17" s="1">
        <v>46038</v>
      </c>
      <c r="B17" t="s">
        <v>28</v>
      </c>
      <c r="C17" t="s">
        <v>52</v>
      </c>
      <c r="D17" t="s">
        <v>61</v>
      </c>
      <c r="E17" t="s">
        <v>66</v>
      </c>
      <c r="F17" t="s">
        <v>74</v>
      </c>
      <c r="G17" t="s">
        <v>81</v>
      </c>
      <c r="H17" t="s">
        <v>88</v>
      </c>
      <c r="I17">
        <v>2</v>
      </c>
      <c r="J17">
        <v>8500</v>
      </c>
      <c r="K17" s="3">
        <v>0.08</v>
      </c>
      <c r="L17" t="s">
        <v>90</v>
      </c>
      <c r="M17" t="s">
        <v>93</v>
      </c>
    </row>
    <row r="18" spans="1:13" x14ac:dyDescent="0.25">
      <c r="A18" s="1">
        <v>46039</v>
      </c>
      <c r="B18" t="s">
        <v>29</v>
      </c>
      <c r="C18" t="s">
        <v>53</v>
      </c>
      <c r="D18" t="s">
        <v>96</v>
      </c>
      <c r="E18" t="s">
        <v>64</v>
      </c>
      <c r="F18" t="s">
        <v>75</v>
      </c>
      <c r="G18" t="s">
        <v>78</v>
      </c>
      <c r="H18" t="s">
        <v>85</v>
      </c>
      <c r="I18">
        <v>5</v>
      </c>
      <c r="J18">
        <v>55000</v>
      </c>
      <c r="K18" s="3">
        <v>0.1</v>
      </c>
      <c r="L18" t="s">
        <v>91</v>
      </c>
      <c r="M18" t="s">
        <v>95</v>
      </c>
    </row>
    <row r="19" spans="1:13" x14ac:dyDescent="0.25">
      <c r="A19" s="1">
        <v>46040</v>
      </c>
      <c r="B19" t="s">
        <v>30</v>
      </c>
      <c r="C19" t="s">
        <v>54</v>
      </c>
      <c r="D19" t="s">
        <v>62</v>
      </c>
      <c r="E19" t="s">
        <v>69</v>
      </c>
      <c r="F19" t="s">
        <v>76</v>
      </c>
      <c r="G19" t="s">
        <v>82</v>
      </c>
      <c r="H19" t="s">
        <v>85</v>
      </c>
      <c r="I19">
        <v>1</v>
      </c>
      <c r="J19">
        <v>18000</v>
      </c>
      <c r="K19" s="3">
        <v>0.05</v>
      </c>
      <c r="L19" t="s">
        <v>90</v>
      </c>
      <c r="M19" t="s">
        <v>93</v>
      </c>
    </row>
    <row r="20" spans="1:13" x14ac:dyDescent="0.25">
      <c r="A20" s="2">
        <v>46041</v>
      </c>
      <c r="B20" t="s">
        <v>31</v>
      </c>
      <c r="C20" t="s">
        <v>55</v>
      </c>
      <c r="D20" t="s">
        <v>61</v>
      </c>
      <c r="E20" t="s">
        <v>64</v>
      </c>
      <c r="F20" t="s">
        <v>77</v>
      </c>
      <c r="G20" t="s">
        <v>83</v>
      </c>
      <c r="H20" t="s">
        <v>87</v>
      </c>
      <c r="I20">
        <v>6</v>
      </c>
      <c r="J20">
        <v>800</v>
      </c>
      <c r="K20" s="3">
        <v>0.1</v>
      </c>
      <c r="L20" t="s">
        <v>91</v>
      </c>
      <c r="M20" t="s">
        <v>93</v>
      </c>
    </row>
    <row r="21" spans="1:13" x14ac:dyDescent="0.25">
      <c r="A21" s="1">
        <v>46042</v>
      </c>
      <c r="B21" t="s">
        <v>32</v>
      </c>
      <c r="C21" t="s">
        <v>56</v>
      </c>
      <c r="D21" t="s">
        <v>61</v>
      </c>
      <c r="E21" t="s">
        <v>65</v>
      </c>
      <c r="F21" t="s">
        <v>71</v>
      </c>
      <c r="G21" t="s">
        <v>84</v>
      </c>
      <c r="H21" t="s">
        <v>89</v>
      </c>
      <c r="I21">
        <v>3</v>
      </c>
      <c r="J21">
        <v>12500</v>
      </c>
      <c r="L21" t="s">
        <v>92</v>
      </c>
      <c r="M21" t="s">
        <v>94</v>
      </c>
    </row>
    <row r="22" spans="1:13" x14ac:dyDescent="0.25">
      <c r="A22" s="1">
        <v>46043</v>
      </c>
      <c r="B22" t="s">
        <v>33</v>
      </c>
      <c r="C22" t="s">
        <v>57</v>
      </c>
      <c r="D22" t="s">
        <v>61</v>
      </c>
      <c r="E22" t="s">
        <v>63</v>
      </c>
      <c r="F22" t="s">
        <v>70</v>
      </c>
      <c r="G22" t="s">
        <v>78</v>
      </c>
      <c r="H22" t="s">
        <v>85</v>
      </c>
      <c r="I22">
        <v>2</v>
      </c>
      <c r="J22">
        <v>55000</v>
      </c>
      <c r="K22" s="3">
        <v>7.0000000000000007E-2</v>
      </c>
      <c r="L22" t="s">
        <v>91</v>
      </c>
      <c r="M22" t="s">
        <v>95</v>
      </c>
    </row>
    <row r="23" spans="1:13" x14ac:dyDescent="0.25">
      <c r="A23" s="1">
        <v>46044</v>
      </c>
      <c r="B23" t="s">
        <v>34</v>
      </c>
      <c r="C23" t="s">
        <v>58</v>
      </c>
      <c r="D23" t="s">
        <v>96</v>
      </c>
      <c r="E23" t="s">
        <v>66</v>
      </c>
      <c r="F23" t="s">
        <v>71</v>
      </c>
      <c r="G23" t="s">
        <v>79</v>
      </c>
      <c r="H23" t="s">
        <v>85</v>
      </c>
      <c r="I23">
        <v>10</v>
      </c>
      <c r="J23">
        <v>12000</v>
      </c>
      <c r="K23" s="3">
        <v>0.08</v>
      </c>
      <c r="L23" t="s">
        <v>90</v>
      </c>
      <c r="M23" t="s">
        <v>93</v>
      </c>
    </row>
    <row r="24" spans="1:13" x14ac:dyDescent="0.25">
      <c r="A24" s="1">
        <v>46045</v>
      </c>
      <c r="B24" t="s">
        <v>35</v>
      </c>
      <c r="C24" t="s">
        <v>59</v>
      </c>
      <c r="D24" t="s">
        <v>62</v>
      </c>
      <c r="E24" t="s">
        <v>67</v>
      </c>
      <c r="F24" t="s">
        <v>72</v>
      </c>
      <c r="G24" t="s">
        <v>80</v>
      </c>
      <c r="H24" t="s">
        <v>87</v>
      </c>
      <c r="I24">
        <v>4</v>
      </c>
      <c r="J24">
        <v>1500</v>
      </c>
      <c r="K24" s="3">
        <v>0.05</v>
      </c>
      <c r="L24" t="s">
        <v>90</v>
      </c>
      <c r="M24" t="s">
        <v>95</v>
      </c>
    </row>
    <row r="25" spans="1:13" x14ac:dyDescent="0.25">
      <c r="A25" s="1">
        <v>46046</v>
      </c>
      <c r="B25" t="s">
        <v>36</v>
      </c>
      <c r="C25" t="s">
        <v>60</v>
      </c>
      <c r="D25" t="s">
        <v>61</v>
      </c>
      <c r="E25" t="s">
        <v>68</v>
      </c>
      <c r="F25" t="s">
        <v>73</v>
      </c>
      <c r="G25" t="s">
        <v>81</v>
      </c>
      <c r="H25" t="s">
        <v>88</v>
      </c>
      <c r="I25">
        <v>3</v>
      </c>
      <c r="J25">
        <v>8500</v>
      </c>
      <c r="K25" s="3">
        <v>0.06</v>
      </c>
      <c r="L25" t="s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00A1-B537-479B-BB2D-495FD891808C}">
  <dimension ref="A1:B10"/>
  <sheetViews>
    <sheetView workbookViewId="0">
      <selection activeCell="C10" sqref="C10"/>
    </sheetView>
  </sheetViews>
  <sheetFormatPr defaultRowHeight="15" x14ac:dyDescent="0.25"/>
  <cols>
    <col min="1" max="1" width="13.140625" bestFit="1" customWidth="1"/>
    <col min="2" max="2" width="18.5703125" bestFit="1" customWidth="1"/>
  </cols>
  <sheetData>
    <row r="1" spans="1:2" x14ac:dyDescent="0.25">
      <c r="A1" s="17" t="s">
        <v>6</v>
      </c>
      <c r="B1" t="s">
        <v>79</v>
      </c>
    </row>
    <row r="3" spans="1:2" x14ac:dyDescent="0.25">
      <c r="A3" s="17" t="s">
        <v>105</v>
      </c>
      <c r="B3" t="s">
        <v>107</v>
      </c>
    </row>
    <row r="4" spans="1:2" x14ac:dyDescent="0.25">
      <c r="A4" s="18" t="s">
        <v>63</v>
      </c>
      <c r="B4">
        <v>192600</v>
      </c>
    </row>
    <row r="5" spans="1:2" x14ac:dyDescent="0.25">
      <c r="A5" s="19" t="s">
        <v>92</v>
      </c>
      <c r="B5">
        <v>171000</v>
      </c>
    </row>
    <row r="6" spans="1:2" x14ac:dyDescent="0.25">
      <c r="A6" s="19" t="s">
        <v>90</v>
      </c>
      <c r="B6">
        <v>21600</v>
      </c>
    </row>
    <row r="7" spans="1:2" x14ac:dyDescent="0.25">
      <c r="A7" s="18" t="s">
        <v>66</v>
      </c>
      <c r="B7">
        <v>142800</v>
      </c>
    </row>
    <row r="8" spans="1:2" x14ac:dyDescent="0.25">
      <c r="A8" s="19" t="s">
        <v>91</v>
      </c>
      <c r="B8">
        <v>32400</v>
      </c>
    </row>
    <row r="9" spans="1:2" x14ac:dyDescent="0.25">
      <c r="A9" s="19" t="s">
        <v>90</v>
      </c>
      <c r="B9">
        <v>110400</v>
      </c>
    </row>
    <row r="10" spans="1:2" x14ac:dyDescent="0.25">
      <c r="A10" s="18" t="s">
        <v>106</v>
      </c>
      <c r="B10">
        <v>335400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0CBD-33C6-4C42-A445-293925C26F99}">
  <dimension ref="A1:AI25"/>
  <sheetViews>
    <sheetView tabSelected="1" topLeftCell="O11" zoomScale="130" zoomScaleNormal="130" workbookViewId="0">
      <selection activeCell="U17" sqref="U17"/>
    </sheetView>
  </sheetViews>
  <sheetFormatPr defaultRowHeight="15" x14ac:dyDescent="0.25"/>
  <cols>
    <col min="1" max="8" width="14.140625" customWidth="1"/>
    <col min="9" max="9" width="8.28515625" customWidth="1"/>
    <col min="10" max="10" width="15.140625" customWidth="1"/>
    <col min="11" max="11" width="12.42578125" customWidth="1"/>
    <col min="12" max="12" width="16.28515625" customWidth="1"/>
    <col min="13" max="13" width="12.42578125" customWidth="1"/>
    <col min="14" max="14" width="17.85546875" customWidth="1"/>
    <col min="15" max="15" width="16.85546875" customWidth="1"/>
    <col min="16" max="16" width="16.28515625" customWidth="1"/>
    <col min="17" max="17" width="13.85546875" customWidth="1"/>
    <col min="18" max="18" width="8.85546875" customWidth="1"/>
    <col min="19" max="19" width="16.28515625" customWidth="1"/>
    <col min="20" max="20" width="12.5703125" customWidth="1"/>
    <col min="21" max="21" width="20.5703125" customWidth="1"/>
    <col min="22" max="22" width="11.7109375" customWidth="1"/>
    <col min="23" max="23" width="11.42578125" bestFit="1" customWidth="1"/>
    <col min="26" max="26" width="12.140625" customWidth="1"/>
  </cols>
  <sheetData>
    <row r="1" spans="1:3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98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100</v>
      </c>
      <c r="O1" s="6" t="s">
        <v>101</v>
      </c>
      <c r="P1" s="6" t="s">
        <v>102</v>
      </c>
      <c r="Q1" s="6" t="s">
        <v>103</v>
      </c>
    </row>
    <row r="2" spans="1:35" x14ac:dyDescent="0.25">
      <c r="A2" s="7">
        <v>46023</v>
      </c>
      <c r="B2" s="6" t="s">
        <v>13</v>
      </c>
      <c r="C2" s="6" t="s">
        <v>37</v>
      </c>
      <c r="D2" s="6" t="s">
        <v>61</v>
      </c>
      <c r="E2" s="6" t="s">
        <v>63</v>
      </c>
      <c r="F2" s="6" t="s">
        <v>70</v>
      </c>
      <c r="G2" s="6" t="s">
        <v>78</v>
      </c>
      <c r="H2" s="6" t="s">
        <v>85</v>
      </c>
      <c r="I2" s="6">
        <v>2</v>
      </c>
      <c r="J2" s="9">
        <v>55000</v>
      </c>
      <c r="K2" s="8">
        <v>0.05</v>
      </c>
      <c r="L2" s="6" t="s">
        <v>90</v>
      </c>
      <c r="M2" s="6" t="s">
        <v>93</v>
      </c>
      <c r="N2" s="9">
        <f>IFERROR(Table1[[#This Row],[Qty]]*Table1[[#This Row],[Unit Price ]], "Not Found")</f>
        <v>110000</v>
      </c>
      <c r="O2" s="10">
        <f>IFERROR(Table1[[#This Row],[Total Amount]]*Table1[[#This Row],[Discount %]], "Not Found")</f>
        <v>5500</v>
      </c>
      <c r="P2" s="10">
        <f>IFERROR(Table1[[#This Row],[Total Amount]]-Table1[[#This Row],[Discount Amount]], "Not Found")</f>
        <v>104500</v>
      </c>
      <c r="Q2" s="6" t="str" cm="1">
        <f t="array" ref="Q2">_xlfn.IFS(Table1[[#This Row],[ Grand Total]]="Not Found", "Not Found", Table1[[#This Row],[ Grand Total]]&gt;50000, "Incentive", TRUE, "No Incentive")</f>
        <v>Incentive</v>
      </c>
      <c r="R2" s="11"/>
      <c r="S2" s="11"/>
      <c r="U2" s="16">
        <f ca="1">NOW()</f>
        <v>46293.254364583336</v>
      </c>
    </row>
    <row r="3" spans="1:35" x14ac:dyDescent="0.25">
      <c r="A3" s="7">
        <v>46024</v>
      </c>
      <c r="B3" s="6" t="s">
        <v>14</v>
      </c>
      <c r="C3" s="6" t="s">
        <v>38</v>
      </c>
      <c r="D3" s="6" t="s">
        <v>61</v>
      </c>
      <c r="E3" s="6" t="s">
        <v>66</v>
      </c>
      <c r="F3" s="6" t="s">
        <v>71</v>
      </c>
      <c r="G3" s="6" t="s">
        <v>79</v>
      </c>
      <c r="H3" s="6" t="s">
        <v>85</v>
      </c>
      <c r="I3" s="6">
        <v>3</v>
      </c>
      <c r="J3" s="9">
        <v>12000</v>
      </c>
      <c r="K3" s="8">
        <v>0.1</v>
      </c>
      <c r="L3" s="6" t="s">
        <v>91</v>
      </c>
      <c r="M3" s="6" t="s">
        <v>93</v>
      </c>
      <c r="N3" s="9">
        <f>IFERROR(Table1[[#This Row],[Qty]]*Table1[[#This Row],[Unit Price ]], "Not Found")</f>
        <v>36000</v>
      </c>
      <c r="O3" s="10">
        <f>IFERROR(Table1[[#This Row],[Total Amount]]*Table1[[#This Row],[Discount %]], "Not Found")</f>
        <v>3600</v>
      </c>
      <c r="P3" s="10">
        <f>IFERROR(Table1[[#This Row],[Total Amount]]-Table1[[#This Row],[Discount Amount]], "Not Found")</f>
        <v>32400</v>
      </c>
      <c r="Q3" s="6" t="str" cm="1">
        <f t="array" ref="Q3">_xlfn.IFS(Table1[[#This Row],[ Grand Total]]="Not Found", "Not Found", Table1[[#This Row],[ Grand Total]]&gt;50000, "Incentive", TRUE, "No Incentive")</f>
        <v>No Incentive</v>
      </c>
      <c r="R3" s="11"/>
      <c r="S3" s="11"/>
    </row>
    <row r="4" spans="1:35" x14ac:dyDescent="0.25">
      <c r="A4" s="7">
        <v>46025</v>
      </c>
      <c r="B4" s="6" t="s">
        <v>15</v>
      </c>
      <c r="C4" s="6" t="s">
        <v>39</v>
      </c>
      <c r="D4" s="6" t="s">
        <v>61</v>
      </c>
      <c r="E4" s="6" t="s">
        <v>63</v>
      </c>
      <c r="F4" s="6" t="s">
        <v>72</v>
      </c>
      <c r="G4" s="6" t="s">
        <v>80</v>
      </c>
      <c r="H4" s="6" t="s">
        <v>87</v>
      </c>
      <c r="I4" s="6">
        <v>5</v>
      </c>
      <c r="J4" s="9">
        <v>1500</v>
      </c>
      <c r="K4" s="8">
        <v>0</v>
      </c>
      <c r="L4" s="6" t="s">
        <v>92</v>
      </c>
      <c r="M4" s="6" t="s">
        <v>95</v>
      </c>
      <c r="N4" s="9">
        <f>IFERROR(Table1[[#This Row],[Qty]]*Table1[[#This Row],[Unit Price ]], "Not Found")</f>
        <v>7500</v>
      </c>
      <c r="O4" s="10">
        <f>IFERROR(Table1[[#This Row],[Total Amount]]*Table1[[#This Row],[Discount %]], "Not Found")</f>
        <v>0</v>
      </c>
      <c r="P4" s="10">
        <f>IFERROR(Table1[[#This Row],[Total Amount]]-Table1[[#This Row],[Discount Amount]], "Not Found")</f>
        <v>7500</v>
      </c>
      <c r="Q4" s="6" t="str" cm="1">
        <f t="array" ref="Q4">_xlfn.IFS(Table1[[#This Row],[ Grand Total]]="Not Found", "Not Found", Table1[[#This Row],[ Grand Total]]&gt;50000, "Incentive", TRUE, "No Incentive")</f>
        <v>No Incentive</v>
      </c>
      <c r="R4" s="11"/>
      <c r="S4" s="11"/>
      <c r="V4" t="str" cm="1">
        <f t="array" ref="V4:V10">_xlfn.UNIQUE(Table1[Product])</f>
        <v>Laptop</v>
      </c>
      <c r="W4" t="str" cm="1">
        <f t="array" ref="W4:W6">_xlfn.UNIQUE(Table1[Region])</f>
        <v>los angeles</v>
      </c>
    </row>
    <row r="5" spans="1:35" x14ac:dyDescent="0.25">
      <c r="A5" s="7">
        <v>46026</v>
      </c>
      <c r="B5" s="6" t="s">
        <v>16</v>
      </c>
      <c r="C5" s="6" t="s">
        <v>40</v>
      </c>
      <c r="D5" s="6" t="s">
        <v>96</v>
      </c>
      <c r="E5" s="6" t="s">
        <v>66</v>
      </c>
      <c r="F5" s="6" t="s">
        <v>73</v>
      </c>
      <c r="G5" s="6" t="s">
        <v>81</v>
      </c>
      <c r="H5" s="6" t="s">
        <v>88</v>
      </c>
      <c r="I5" s="6">
        <v>4</v>
      </c>
      <c r="J5" s="9">
        <v>8500</v>
      </c>
      <c r="K5" s="8">
        <v>0.05</v>
      </c>
      <c r="L5" s="6" t="s">
        <v>90</v>
      </c>
      <c r="M5" s="6" t="s">
        <v>93</v>
      </c>
      <c r="N5" s="9">
        <f>IFERROR(Table1[[#This Row],[Qty]]*Table1[[#This Row],[Unit Price ]], "Not Found")</f>
        <v>34000</v>
      </c>
      <c r="O5" s="10">
        <f>IFERROR(Table1[[#This Row],[Total Amount]]*Table1[[#This Row],[Discount %]], "Not Found")</f>
        <v>1700</v>
      </c>
      <c r="P5" s="10">
        <f>IFERROR(Table1[[#This Row],[Total Amount]]-Table1[[#This Row],[Discount Amount]], "Not Found")</f>
        <v>32300</v>
      </c>
      <c r="Q5" s="6" t="str" cm="1">
        <f t="array" ref="Q5">_xlfn.IFS(Table1[[#This Row],[ Grand Total]]="Not Found", "Not Found", Table1[[#This Row],[ Grand Total]]&gt;50000, "Incentive", TRUE, "No Incentive")</f>
        <v>No Incentive</v>
      </c>
      <c r="R5" s="11"/>
      <c r="S5" s="12" t="s">
        <v>6</v>
      </c>
      <c r="T5" s="13" t="s">
        <v>98</v>
      </c>
      <c r="V5" t="str">
        <v>Monitor</v>
      </c>
      <c r="W5" t="str">
        <v>Mayami</v>
      </c>
    </row>
    <row r="6" spans="1:35" x14ac:dyDescent="0.25">
      <c r="A6" s="7">
        <v>46027</v>
      </c>
      <c r="B6" s="6" t="s">
        <v>17</v>
      </c>
      <c r="C6" s="6" t="s">
        <v>41</v>
      </c>
      <c r="D6" s="6" t="s">
        <v>61</v>
      </c>
      <c r="E6" s="6" t="s">
        <v>64</v>
      </c>
      <c r="F6" s="6" t="s">
        <v>70</v>
      </c>
      <c r="G6" s="6" t="s">
        <v>78</v>
      </c>
      <c r="H6" s="6" t="s">
        <v>85</v>
      </c>
      <c r="I6" s="6">
        <v>1</v>
      </c>
      <c r="J6" s="9">
        <v>55000</v>
      </c>
      <c r="K6" s="8">
        <v>0.05</v>
      </c>
      <c r="L6" s="6" t="s">
        <v>90</v>
      </c>
      <c r="M6" s="6" t="s">
        <v>93</v>
      </c>
      <c r="N6" s="9">
        <f>IFERROR(Table1[[#This Row],[Qty]]*Table1[[#This Row],[Unit Price ]], "Not Found")</f>
        <v>55000</v>
      </c>
      <c r="O6" s="10">
        <f>IFERROR(Table1[[#This Row],[Total Amount]]*Table1[[#This Row],[Discount %]], "Not Found")</f>
        <v>2750</v>
      </c>
      <c r="P6" s="10">
        <f>IFERROR(Table1[[#This Row],[Total Amount]]-Table1[[#This Row],[Discount Amount]], "Not Found")</f>
        <v>52250</v>
      </c>
      <c r="Q6" s="6" t="str" cm="1">
        <f t="array" ref="Q6">_xlfn.IFS(Table1[[#This Row],[ Grand Total]]="Not Found", "Not Found", Table1[[#This Row],[ Grand Total]]&gt;50000, "Incentive", TRUE, "No Incentive")</f>
        <v>Incentive</v>
      </c>
      <c r="R6" s="11"/>
      <c r="S6" s="14" t="s">
        <v>79</v>
      </c>
      <c r="T6" s="15" t="s">
        <v>63</v>
      </c>
      <c r="V6" t="str">
        <v>Keyboard</v>
      </c>
      <c r="W6" t="str">
        <v>Nyc</v>
      </c>
    </row>
    <row r="7" spans="1:35" x14ac:dyDescent="0.25">
      <c r="A7" s="7">
        <v>46028</v>
      </c>
      <c r="B7" s="6" t="s">
        <v>18</v>
      </c>
      <c r="C7" s="6" t="s">
        <v>42</v>
      </c>
      <c r="D7" s="6" t="s">
        <v>61</v>
      </c>
      <c r="E7" s="6" t="s">
        <v>68</v>
      </c>
      <c r="F7" s="6" t="s">
        <v>74</v>
      </c>
      <c r="G7" s="6" t="s">
        <v>82</v>
      </c>
      <c r="H7" s="6" t="s">
        <v>85</v>
      </c>
      <c r="I7" s="4" t="s">
        <v>99</v>
      </c>
      <c r="J7" s="9">
        <v>18000</v>
      </c>
      <c r="K7" s="8">
        <v>0.08</v>
      </c>
      <c r="L7" s="6" t="s">
        <v>91</v>
      </c>
      <c r="M7" s="6" t="s">
        <v>95</v>
      </c>
      <c r="N7" s="9" t="str">
        <f>IFERROR(Table1[[#This Row],[Qty]]*Table1[[#This Row],[Unit Price ]], "Not Found")</f>
        <v>Not Found</v>
      </c>
      <c r="O7" s="10" t="str">
        <f>IFERROR(Table1[[#This Row],[Total Amount]]*Table1[[#This Row],[Discount %]], "Not Found")</f>
        <v>Not Found</v>
      </c>
      <c r="P7" s="10" t="str">
        <f>IFERROR(Table1[[#This Row],[Total Amount]]-Table1[[#This Row],[Discount Amount]], "Not Found")</f>
        <v>Not Found</v>
      </c>
      <c r="Q7" s="6" t="str" cm="1">
        <f t="array" ref="Q7">_xlfn.IFS(Table1[[#This Row],[ Grand Total]]="Not Found", "Not Found", Table1[[#This Row],[ Grand Total]]&gt;50000, "Incentive", TRUE, "No Incentive")</f>
        <v>Not Found</v>
      </c>
      <c r="V7" t="str">
        <v>Ofiice Chair</v>
      </c>
    </row>
    <row r="8" spans="1:35" x14ac:dyDescent="0.25">
      <c r="A8" s="7">
        <v>46029</v>
      </c>
      <c r="B8" s="6" t="s">
        <v>19</v>
      </c>
      <c r="C8" s="6" t="s">
        <v>43</v>
      </c>
      <c r="D8" s="6" t="s">
        <v>62</v>
      </c>
      <c r="E8" s="6" t="s">
        <v>66</v>
      </c>
      <c r="F8" s="6" t="s">
        <v>75</v>
      </c>
      <c r="G8" s="6" t="s">
        <v>83</v>
      </c>
      <c r="H8" s="6" t="s">
        <v>87</v>
      </c>
      <c r="I8" s="6">
        <v>10</v>
      </c>
      <c r="J8" s="9">
        <v>800</v>
      </c>
      <c r="K8" s="8">
        <v>0</v>
      </c>
      <c r="L8" s="6" t="s">
        <v>92</v>
      </c>
      <c r="M8" s="6" t="s">
        <v>93</v>
      </c>
      <c r="N8" s="9">
        <f>IFERROR(Table1[[#This Row],[Qty]]*Table1[[#This Row],[Unit Price ]], "Not Found")</f>
        <v>8000</v>
      </c>
      <c r="O8" s="10">
        <f>IFERROR(Table1[[#This Row],[Total Amount]]*Table1[[#This Row],[Discount %]], "Not Found")</f>
        <v>0</v>
      </c>
      <c r="P8" s="10">
        <f>IFERROR(Table1[[#This Row],[Total Amount]]-Table1[[#This Row],[Discount Amount]], "Not Found")</f>
        <v>8000</v>
      </c>
      <c r="Q8" s="6" t="str" cm="1">
        <f t="array" ref="Q8">_xlfn.IFS(Table1[[#This Row],[ Grand Total]]="Not Found", "Not Found", Table1[[#This Row],[ Grand Total]]&gt;50000, "Incentive", TRUE, "No Incentive")</f>
        <v>No Incentive</v>
      </c>
      <c r="V8" t="str">
        <v>Printer</v>
      </c>
    </row>
    <row r="9" spans="1:35" x14ac:dyDescent="0.25">
      <c r="A9" s="7">
        <v>46030</v>
      </c>
      <c r="B9" s="6" t="s">
        <v>20</v>
      </c>
      <c r="C9" s="6" t="s">
        <v>44</v>
      </c>
      <c r="D9" s="20" t="s">
        <v>97</v>
      </c>
      <c r="E9" s="6" t="s">
        <v>64</v>
      </c>
      <c r="F9" s="6" t="s">
        <v>76</v>
      </c>
      <c r="G9" s="6" t="s">
        <v>84</v>
      </c>
      <c r="H9" s="6" t="s">
        <v>88</v>
      </c>
      <c r="I9" s="6">
        <v>2</v>
      </c>
      <c r="J9" s="9">
        <v>12500</v>
      </c>
      <c r="K9" s="8">
        <v>0.1</v>
      </c>
      <c r="L9" s="6" t="s">
        <v>90</v>
      </c>
      <c r="M9" s="6" t="s">
        <v>93</v>
      </c>
      <c r="N9" s="9">
        <f>IFERROR(Table1[[#This Row],[Qty]]*Table1[[#This Row],[Unit Price ]], "Not Found")</f>
        <v>25000</v>
      </c>
      <c r="O9" s="10">
        <f>IFERROR(Table1[[#This Row],[Total Amount]]*Table1[[#This Row],[Discount %]], "Not Found")</f>
        <v>2500</v>
      </c>
      <c r="P9" s="10">
        <f>IFERROR(Table1[[#This Row],[Total Amount]]-Table1[[#This Row],[Discount Amount]], "Not Found")</f>
        <v>22500</v>
      </c>
      <c r="Q9" s="6" t="str" cm="1">
        <f t="array" ref="Q9">_xlfn.IFS(Table1[[#This Row],[ Grand Total]]="Not Found", "Not Found", Table1[[#This Row],[ Grand Total]]&gt;50000, "Incentive", TRUE, "No Incentive")</f>
        <v>No Incentive</v>
      </c>
      <c r="V9" t="str">
        <v>Mouse</v>
      </c>
    </row>
    <row r="10" spans="1:35" x14ac:dyDescent="0.25">
      <c r="A10" s="7">
        <v>46031</v>
      </c>
      <c r="B10" s="6" t="s">
        <v>21</v>
      </c>
      <c r="C10" s="6" t="s">
        <v>45</v>
      </c>
      <c r="D10" s="6" t="s">
        <v>61</v>
      </c>
      <c r="E10" s="6" t="s">
        <v>66</v>
      </c>
      <c r="F10" s="6" t="s">
        <v>77</v>
      </c>
      <c r="G10" s="6" t="s">
        <v>78</v>
      </c>
      <c r="H10" s="6" t="s">
        <v>85</v>
      </c>
      <c r="I10" s="6">
        <v>2</v>
      </c>
      <c r="J10" s="9">
        <v>55000</v>
      </c>
      <c r="K10" s="8">
        <v>7.0000000000000007E-2</v>
      </c>
      <c r="L10" s="6" t="s">
        <v>91</v>
      </c>
      <c r="M10" s="6" t="s">
        <v>93</v>
      </c>
      <c r="N10" s="9">
        <f>IFERROR(Table1[[#This Row],[Qty]]*Table1[[#This Row],[Unit Price ]], "Not Found")</f>
        <v>110000</v>
      </c>
      <c r="O10" s="10">
        <f>IFERROR(Table1[[#This Row],[Total Amount]]*Table1[[#This Row],[Discount %]], "Not Found")</f>
        <v>7700.0000000000009</v>
      </c>
      <c r="P10" s="10">
        <f>IFERROR(Table1[[#This Row],[Total Amount]]-Table1[[#This Row],[Discount Amount]], "Not Found")</f>
        <v>102300</v>
      </c>
      <c r="Q10" s="6" t="str" cm="1">
        <f t="array" ref="Q10">_xlfn.IFS(Table1[[#This Row],[ Grand Total]]="Not Found", "Not Found", Table1[[#This Row],[ Grand Total]]&gt;50000, "Incentive", TRUE, "No Incentive")</f>
        <v>Incentive</v>
      </c>
      <c r="V10" t="str">
        <v>Desk</v>
      </c>
    </row>
    <row r="11" spans="1:35" x14ac:dyDescent="0.25">
      <c r="A11" s="7">
        <v>46032</v>
      </c>
      <c r="B11" s="6" t="s">
        <v>22</v>
      </c>
      <c r="C11" s="6" t="s">
        <v>46</v>
      </c>
      <c r="D11" s="6" t="s">
        <v>61</v>
      </c>
      <c r="E11" s="6" t="s">
        <v>64</v>
      </c>
      <c r="F11" s="6" t="s">
        <v>71</v>
      </c>
      <c r="G11" s="6" t="s">
        <v>79</v>
      </c>
      <c r="H11" s="6" t="s">
        <v>85</v>
      </c>
      <c r="I11" s="6">
        <v>2</v>
      </c>
      <c r="J11" s="9">
        <v>12000</v>
      </c>
      <c r="K11" s="8">
        <v>0.1</v>
      </c>
      <c r="L11" s="6" t="s">
        <v>90</v>
      </c>
      <c r="M11" s="6" t="s">
        <v>95</v>
      </c>
      <c r="N11" s="9">
        <f>IFERROR(Table1[[#This Row],[Qty]]*Table1[[#This Row],[Unit Price ]], "Not Found")</f>
        <v>24000</v>
      </c>
      <c r="O11" s="10">
        <f>IFERROR(Table1[[#This Row],[Total Amount]]*Table1[[#This Row],[Discount %]], "Not Found")</f>
        <v>2400</v>
      </c>
      <c r="P11" s="10">
        <f>IFERROR(Table1[[#This Row],[Total Amount]]-Table1[[#This Row],[Discount Amount]], "Not Found")</f>
        <v>21600</v>
      </c>
      <c r="Q11" s="6" t="str" cm="1">
        <f t="array" ref="Q11">_xlfn.IFS(Table1[[#This Row],[ Grand Total]]="Not Found", "Not Found", Table1[[#This Row],[ Grand Total]]&gt;50000, "Incentive", TRUE, "No Incentive")</f>
        <v>No Incentive</v>
      </c>
    </row>
    <row r="12" spans="1:35" x14ac:dyDescent="0.25">
      <c r="A12" s="7">
        <v>46033</v>
      </c>
      <c r="B12" s="6" t="s">
        <v>23</v>
      </c>
      <c r="C12" s="6" t="s">
        <v>47</v>
      </c>
      <c r="D12" s="6" t="s">
        <v>61</v>
      </c>
      <c r="E12" s="6" t="s">
        <v>68</v>
      </c>
      <c r="F12" s="6" t="s">
        <v>70</v>
      </c>
      <c r="G12" s="6" t="s">
        <v>80</v>
      </c>
      <c r="H12" s="6" t="s">
        <v>87</v>
      </c>
      <c r="I12" s="6">
        <v>4</v>
      </c>
      <c r="J12" s="9">
        <v>1500</v>
      </c>
      <c r="K12" s="8">
        <v>7.0000000000000007E-2</v>
      </c>
      <c r="L12" s="6" t="s">
        <v>92</v>
      </c>
      <c r="M12" s="6" t="s">
        <v>93</v>
      </c>
      <c r="N12" s="9">
        <f>IFERROR(Table1[[#This Row],[Qty]]*Table1[[#This Row],[Unit Price ]], "Not Found")</f>
        <v>6000</v>
      </c>
      <c r="O12" s="10">
        <f>IFERROR(Table1[[#This Row],[Total Amount]]*Table1[[#This Row],[Discount %]], "Not Found")</f>
        <v>420.00000000000006</v>
      </c>
      <c r="P12" s="10">
        <f>IFERROR(Table1[[#This Row],[Total Amount]]-Table1[[#This Row],[Discount Amount]], "Not Found")</f>
        <v>5580</v>
      </c>
      <c r="Q12" s="6" t="str" cm="1">
        <f t="array" ref="Q12">_xlfn.IFS(Table1[[#This Row],[ Grand Total]]="Not Found", "Not Found", Table1[[#This Row],[ Grand Total]]&gt;50000, "Incentive", TRUE, "No Incentive")</f>
        <v>No Incentive</v>
      </c>
      <c r="S12" cm="1">
        <f t="array" ref="S12:AI13">_xlfn._xlws.FILTER(Table1[],(Table1[Product]=Product)*(Table1[Region]=Region),"Not Found")</f>
        <v>46032</v>
      </c>
      <c r="T12" t="str">
        <v>ORD010</v>
      </c>
      <c r="U12" t="str">
        <v>Mrtin Waters</v>
      </c>
      <c r="V12" t="str">
        <v>Sales</v>
      </c>
      <c r="W12" t="str">
        <v>Los Angeles</v>
      </c>
      <c r="X12" t="str">
        <v>XYZ Pvt Ltd</v>
      </c>
      <c r="Y12" t="str">
        <v>Monitor</v>
      </c>
      <c r="Z12" t="str">
        <v>Electronics</v>
      </c>
      <c r="AA12">
        <v>2</v>
      </c>
      <c r="AB12">
        <v>12000</v>
      </c>
      <c r="AC12">
        <v>0.1</v>
      </c>
      <c r="AD12" t="str">
        <v>UPI</v>
      </c>
      <c r="AE12" t="str">
        <v>Pending</v>
      </c>
      <c r="AF12">
        <v>24000</v>
      </c>
      <c r="AG12">
        <v>2400</v>
      </c>
      <c r="AH12">
        <v>21600</v>
      </c>
      <c r="AI12" t="str">
        <v>No Incentive</v>
      </c>
    </row>
    <row r="13" spans="1:35" x14ac:dyDescent="0.25">
      <c r="A13" s="7">
        <v>46034</v>
      </c>
      <c r="B13" s="6" t="s">
        <v>24</v>
      </c>
      <c r="C13" s="6" t="s">
        <v>48</v>
      </c>
      <c r="D13" s="6" t="s">
        <v>97</v>
      </c>
      <c r="E13" s="6" t="s">
        <v>64</v>
      </c>
      <c r="F13" s="6" t="s">
        <v>71</v>
      </c>
      <c r="G13" s="6" t="s">
        <v>81</v>
      </c>
      <c r="H13" s="6" t="s">
        <v>88</v>
      </c>
      <c r="I13" s="6">
        <v>8</v>
      </c>
      <c r="J13" s="9">
        <v>8500</v>
      </c>
      <c r="K13" s="8">
        <v>0.1</v>
      </c>
      <c r="L13" s="6" t="s">
        <v>91</v>
      </c>
      <c r="M13" s="6" t="s">
        <v>93</v>
      </c>
      <c r="N13" s="9">
        <f>IFERROR(Table1[[#This Row],[Qty]]*Table1[[#This Row],[Unit Price ]], "Not Found")</f>
        <v>68000</v>
      </c>
      <c r="O13" s="10">
        <f>IFERROR(Table1[[#This Row],[Total Amount]]*Table1[[#This Row],[Discount %]], "Not Found")</f>
        <v>6800</v>
      </c>
      <c r="P13" s="10">
        <f>IFERROR(Table1[[#This Row],[Total Amount]]-Table1[[#This Row],[Discount Amount]], "Not Found")</f>
        <v>61200</v>
      </c>
      <c r="Q13" s="6" t="str" cm="1">
        <f t="array" ref="Q13">_xlfn.IFS(Table1[[#This Row],[ Grand Total]]="Not Found", "Not Found", Table1[[#This Row],[ Grand Total]]&gt;50000, "Incentive", TRUE, "No Incentive")</f>
        <v>Incentive</v>
      </c>
      <c r="S13">
        <v>46036</v>
      </c>
      <c r="T13" t="str">
        <v>ORD014</v>
      </c>
      <c r="U13" t="str">
        <v>Patric Barker</v>
      </c>
      <c r="V13" t="str">
        <v>Sales</v>
      </c>
      <c r="W13" t="str">
        <v>Los Angeles</v>
      </c>
      <c r="X13" t="str">
        <v>LMN Corp</v>
      </c>
      <c r="Y13" t="str">
        <v>Monitor</v>
      </c>
      <c r="Z13" t="str">
        <v>Electronics</v>
      </c>
      <c r="AA13">
        <v>15</v>
      </c>
      <c r="AB13">
        <v>12000</v>
      </c>
      <c r="AC13">
        <v>0.05</v>
      </c>
      <c r="AD13" t="str">
        <v>Cash</v>
      </c>
      <c r="AE13" t="str">
        <v>Pending</v>
      </c>
      <c r="AF13">
        <v>180000</v>
      </c>
      <c r="AG13">
        <v>9000</v>
      </c>
      <c r="AH13">
        <v>171000</v>
      </c>
      <c r="AI13" t="str">
        <v>Incentive</v>
      </c>
    </row>
    <row r="14" spans="1:35" x14ac:dyDescent="0.25">
      <c r="A14" s="7">
        <v>46035</v>
      </c>
      <c r="B14" s="6" t="s">
        <v>25</v>
      </c>
      <c r="C14" s="6" t="s">
        <v>49</v>
      </c>
      <c r="D14" s="6" t="s">
        <v>62</v>
      </c>
      <c r="E14" s="6" t="s">
        <v>66</v>
      </c>
      <c r="F14" s="6" t="s">
        <v>72</v>
      </c>
      <c r="G14" s="6" t="s">
        <v>78</v>
      </c>
      <c r="H14" s="6" t="s">
        <v>85</v>
      </c>
      <c r="I14" s="6">
        <v>3</v>
      </c>
      <c r="J14" s="9">
        <v>55000</v>
      </c>
      <c r="K14" s="8">
        <v>0.05</v>
      </c>
      <c r="L14" s="6" t="s">
        <v>90</v>
      </c>
      <c r="M14" s="6" t="s">
        <v>93</v>
      </c>
      <c r="N14" s="9">
        <f>IFERROR(Table1[[#This Row],[Qty]]*Table1[[#This Row],[Unit Price ]], "Not Found")</f>
        <v>165000</v>
      </c>
      <c r="O14" s="10">
        <f>IFERROR(Table1[[#This Row],[Total Amount]]*Table1[[#This Row],[Discount %]], "Not Found")</f>
        <v>8250</v>
      </c>
      <c r="P14" s="10">
        <f>IFERROR(Table1[[#This Row],[Total Amount]]-Table1[[#This Row],[Discount Amount]], "Not Found")</f>
        <v>156750</v>
      </c>
      <c r="Q14" s="6" t="str" cm="1">
        <f t="array" ref="Q14">_xlfn.IFS(Table1[[#This Row],[ Grand Total]]="Not Found", "Not Found", Table1[[#This Row],[ Grand Total]]&gt;50000, "Incentive", TRUE, "No Incentive")</f>
        <v>Incentive</v>
      </c>
    </row>
    <row r="15" spans="1:35" x14ac:dyDescent="0.25">
      <c r="A15" s="7">
        <v>46036</v>
      </c>
      <c r="B15" s="6" t="s">
        <v>26</v>
      </c>
      <c r="C15" s="6" t="s">
        <v>50</v>
      </c>
      <c r="D15" s="6" t="s">
        <v>61</v>
      </c>
      <c r="E15" s="6" t="s">
        <v>64</v>
      </c>
      <c r="F15" s="6" t="s">
        <v>73</v>
      </c>
      <c r="G15" s="6" t="s">
        <v>79</v>
      </c>
      <c r="H15" s="6" t="s">
        <v>85</v>
      </c>
      <c r="I15" s="6">
        <v>15</v>
      </c>
      <c r="J15" s="9">
        <v>12000</v>
      </c>
      <c r="K15" s="8">
        <v>0.05</v>
      </c>
      <c r="L15" s="6" t="s">
        <v>92</v>
      </c>
      <c r="M15" s="6" t="s">
        <v>95</v>
      </c>
      <c r="N15" s="9">
        <f>IFERROR(Table1[[#This Row],[Qty]]*Table1[[#This Row],[Unit Price ]], "Not Found")</f>
        <v>180000</v>
      </c>
      <c r="O15" s="10">
        <f>IFERROR(Table1[[#This Row],[Total Amount]]*Table1[[#This Row],[Discount %]], "Not Found")</f>
        <v>9000</v>
      </c>
      <c r="P15" s="10">
        <f>IFERROR(Table1[[#This Row],[Total Amount]]-Table1[[#This Row],[Discount Amount]], "Not Found")</f>
        <v>171000</v>
      </c>
      <c r="Q15" s="6" t="str" cm="1">
        <f t="array" ref="Q15">_xlfn.IFS(Table1[[#This Row],[ Grand Total]]="Not Found", "Not Found", Table1[[#This Row],[ Grand Total]]&gt;50000, "Incentive", TRUE, "No Incentive")</f>
        <v>Incentive</v>
      </c>
    </row>
    <row r="16" spans="1:35" x14ac:dyDescent="0.25">
      <c r="A16" s="7">
        <v>46037</v>
      </c>
      <c r="B16" s="6" t="s">
        <v>27</v>
      </c>
      <c r="C16" s="6" t="s">
        <v>51</v>
      </c>
      <c r="D16" s="6" t="s">
        <v>61</v>
      </c>
      <c r="E16" s="6" t="s">
        <v>68</v>
      </c>
      <c r="F16" s="6" t="s">
        <v>70</v>
      </c>
      <c r="G16" s="6" t="s">
        <v>80</v>
      </c>
      <c r="H16" s="6" t="s">
        <v>87</v>
      </c>
      <c r="I16" s="6">
        <v>1</v>
      </c>
      <c r="J16" s="9">
        <v>1500</v>
      </c>
      <c r="K16" s="5" t="s">
        <v>99</v>
      </c>
      <c r="L16" s="6" t="s">
        <v>91</v>
      </c>
      <c r="M16" s="6" t="s">
        <v>93</v>
      </c>
      <c r="N16" s="9">
        <f>IFERROR(Table1[[#This Row],[Qty]]*Table1[[#This Row],[Unit Price ]], "Not Found")</f>
        <v>1500</v>
      </c>
      <c r="O16" s="10" t="str">
        <f>IFERROR(Table1[[#This Row],[Total Amount]]*Table1[[#This Row],[Discount %]], "Not Found")</f>
        <v>Not Found</v>
      </c>
      <c r="P16" s="10" t="str">
        <f>IFERROR(Table1[[#This Row],[Total Amount]]-Table1[[#This Row],[Discount Amount]], "Not Found")</f>
        <v>Not Found</v>
      </c>
      <c r="Q16" s="6" t="str" cm="1">
        <f t="array" ref="Q16">_xlfn.IFS(Table1[[#This Row],[ Grand Total]]="Not Found", "Not Found", Table1[[#This Row],[ Grand Total]]&gt;50000, "Incentive", TRUE, "No Incentive")</f>
        <v>Not Found</v>
      </c>
      <c r="V16" t="s">
        <v>104</v>
      </c>
    </row>
    <row r="17" spans="1:22" x14ac:dyDescent="0.25">
      <c r="A17" s="7">
        <v>46038</v>
      </c>
      <c r="B17" s="6" t="s">
        <v>28</v>
      </c>
      <c r="C17" s="6" t="s">
        <v>52</v>
      </c>
      <c r="D17" s="6" t="s">
        <v>61</v>
      </c>
      <c r="E17" s="6" t="s">
        <v>66</v>
      </c>
      <c r="F17" s="6" t="s">
        <v>74</v>
      </c>
      <c r="G17" s="6" t="s">
        <v>81</v>
      </c>
      <c r="H17" s="6" t="s">
        <v>88</v>
      </c>
      <c r="I17" s="6">
        <v>2</v>
      </c>
      <c r="J17" s="9">
        <v>8500</v>
      </c>
      <c r="K17" s="8">
        <v>0.08</v>
      </c>
      <c r="L17" s="6" t="s">
        <v>90</v>
      </c>
      <c r="M17" s="6" t="s">
        <v>93</v>
      </c>
      <c r="N17" s="9">
        <f>IFERROR(Table1[[#This Row],[Qty]]*Table1[[#This Row],[Unit Price ]], "Not Found")</f>
        <v>17000</v>
      </c>
      <c r="O17" s="10">
        <f>IFERROR(Table1[[#This Row],[Total Amount]]*Table1[[#This Row],[Discount %]], "Not Found")</f>
        <v>1360</v>
      </c>
      <c r="P17" s="10">
        <f>IFERROR(Table1[[#This Row],[Total Amount]]-Table1[[#This Row],[Discount Amount]], "Not Found")</f>
        <v>15640</v>
      </c>
      <c r="Q17" s="6" t="str" cm="1">
        <f t="array" ref="Q17">_xlfn.IFS(Table1[[#This Row],[ Grand Total]]="Not Found", "Not Found", Table1[[#This Row],[ Grand Total]]&gt;50000, "Incentive", TRUE, "No Incentive")</f>
        <v>No Incentive</v>
      </c>
    </row>
    <row r="18" spans="1:22" x14ac:dyDescent="0.25">
      <c r="A18" s="7">
        <v>46039</v>
      </c>
      <c r="B18" s="6" t="s">
        <v>29</v>
      </c>
      <c r="C18" s="6" t="s">
        <v>53</v>
      </c>
      <c r="D18" s="6" t="s">
        <v>97</v>
      </c>
      <c r="E18" s="6" t="s">
        <v>64</v>
      </c>
      <c r="F18" s="6" t="s">
        <v>75</v>
      </c>
      <c r="G18" s="6" t="s">
        <v>78</v>
      </c>
      <c r="H18" s="6" t="s">
        <v>85</v>
      </c>
      <c r="I18" s="6">
        <v>5</v>
      </c>
      <c r="J18" s="9">
        <v>55000</v>
      </c>
      <c r="K18" s="8">
        <v>0.1</v>
      </c>
      <c r="L18" s="6" t="s">
        <v>91</v>
      </c>
      <c r="M18" s="6" t="s">
        <v>95</v>
      </c>
      <c r="N18" s="9">
        <f>IFERROR(Table1[[#This Row],[Qty]]*Table1[[#This Row],[Unit Price ]], "Not Found")</f>
        <v>275000</v>
      </c>
      <c r="O18" s="10">
        <f>IFERROR(Table1[[#This Row],[Total Amount]]*Table1[[#This Row],[Discount %]], "Not Found")</f>
        <v>27500</v>
      </c>
      <c r="P18" s="10">
        <f>IFERROR(Table1[[#This Row],[Total Amount]]-Table1[[#This Row],[Discount Amount]], "Not Found")</f>
        <v>247500</v>
      </c>
      <c r="Q18" s="6" t="str" cm="1">
        <f t="array" ref="Q18">_xlfn.IFS(Table1[[#This Row],[ Grand Total]]="Not Found", "Not Found", Table1[[#This Row],[ Grand Total]]&gt;50000, "Incentive", TRUE, "No Incentive")</f>
        <v>Incentive</v>
      </c>
      <c r="S18" s="12" t="s">
        <v>108</v>
      </c>
    </row>
    <row r="19" spans="1:22" x14ac:dyDescent="0.25">
      <c r="A19" s="7">
        <v>46040</v>
      </c>
      <c r="B19" s="6" t="s">
        <v>30</v>
      </c>
      <c r="C19" s="6" t="s">
        <v>54</v>
      </c>
      <c r="D19" s="6" t="s">
        <v>62</v>
      </c>
      <c r="E19" s="6" t="s">
        <v>66</v>
      </c>
      <c r="F19" s="6" t="s">
        <v>76</v>
      </c>
      <c r="G19" s="6" t="s">
        <v>82</v>
      </c>
      <c r="H19" s="6" t="s">
        <v>85</v>
      </c>
      <c r="I19" s="6">
        <v>1</v>
      </c>
      <c r="J19" s="9">
        <v>18000</v>
      </c>
      <c r="K19" s="8">
        <v>0.05</v>
      </c>
      <c r="L19" s="6" t="s">
        <v>90</v>
      </c>
      <c r="M19" s="6" t="s">
        <v>93</v>
      </c>
      <c r="N19" s="9">
        <f>IFERROR(Table1[[#This Row],[Qty]]*Table1[[#This Row],[Unit Price ]], "Not Found")</f>
        <v>18000</v>
      </c>
      <c r="O19" s="10">
        <f>IFERROR(Table1[[#This Row],[Total Amount]]*Table1[[#This Row],[Discount %]], "Not Found")</f>
        <v>900</v>
      </c>
      <c r="P19" s="10">
        <f>IFERROR(Table1[[#This Row],[Total Amount]]-Table1[[#This Row],[Discount Amount]], "Not Found")</f>
        <v>17100</v>
      </c>
      <c r="Q19" s="6" t="str" cm="1">
        <f t="array" ref="Q19">_xlfn.IFS(Table1[[#This Row],[ Grand Total]]="Not Found", "Not Found", Table1[[#This Row],[ Grand Total]]&gt;50000, "Incentive", TRUE, "No Incentive")</f>
        <v>No Incentive</v>
      </c>
      <c r="S19" s="14" t="s">
        <v>43</v>
      </c>
    </row>
    <row r="20" spans="1:22" x14ac:dyDescent="0.25">
      <c r="A20" s="7">
        <v>46041</v>
      </c>
      <c r="B20" s="6" t="s">
        <v>31</v>
      </c>
      <c r="C20" s="6" t="s">
        <v>55</v>
      </c>
      <c r="D20" s="6" t="s">
        <v>61</v>
      </c>
      <c r="E20" s="6" t="s">
        <v>64</v>
      </c>
      <c r="F20" s="6" t="s">
        <v>77</v>
      </c>
      <c r="G20" s="6" t="s">
        <v>83</v>
      </c>
      <c r="H20" s="6" t="s">
        <v>87</v>
      </c>
      <c r="I20" s="6">
        <v>6</v>
      </c>
      <c r="J20" s="9">
        <v>800</v>
      </c>
      <c r="K20" s="8">
        <v>0.1</v>
      </c>
      <c r="L20" s="6" t="s">
        <v>91</v>
      </c>
      <c r="M20" s="6" t="s">
        <v>93</v>
      </c>
      <c r="N20" s="9">
        <f>IFERROR(Table1[[#This Row],[Qty]]*Table1[[#This Row],[Unit Price ]], "Not Found")</f>
        <v>4800</v>
      </c>
      <c r="O20" s="10">
        <f>IFERROR(Table1[[#This Row],[Total Amount]]*Table1[[#This Row],[Discount %]], "Not Found")</f>
        <v>480</v>
      </c>
      <c r="P20" s="10">
        <f>IFERROR(Table1[[#This Row],[Total Amount]]-Table1[[#This Row],[Discount Amount]], "Not Found")</f>
        <v>4320</v>
      </c>
      <c r="Q20" s="6" t="str" cm="1">
        <f t="array" ref="Q20">_xlfn.IFS(Table1[[#This Row],[ Grand Total]]="Not Found", "Not Found", Table1[[#This Row],[ Grand Total]]&gt;50000, "Incentive", TRUE, "No Incentive")</f>
        <v>No Incentive</v>
      </c>
    </row>
    <row r="21" spans="1:22" x14ac:dyDescent="0.25">
      <c r="A21" s="7">
        <v>46042</v>
      </c>
      <c r="B21" s="6" t="s">
        <v>32</v>
      </c>
      <c r="C21" s="6" t="s">
        <v>56</v>
      </c>
      <c r="D21" s="6" t="s">
        <v>61</v>
      </c>
      <c r="E21" s="6" t="s">
        <v>68</v>
      </c>
      <c r="F21" s="6" t="s">
        <v>71</v>
      </c>
      <c r="G21" s="6" t="s">
        <v>84</v>
      </c>
      <c r="H21" s="6" t="s">
        <v>88</v>
      </c>
      <c r="I21" s="6">
        <v>3</v>
      </c>
      <c r="J21" s="9">
        <v>12500</v>
      </c>
      <c r="K21" s="4" t="s">
        <v>99</v>
      </c>
      <c r="L21" s="6" t="s">
        <v>92</v>
      </c>
      <c r="M21" s="6" t="s">
        <v>93</v>
      </c>
      <c r="N21" s="9">
        <f>IFERROR(Table1[[#This Row],[Qty]]*Table1[[#This Row],[Unit Price ]], "Not Found")</f>
        <v>37500</v>
      </c>
      <c r="O21" s="10" t="str">
        <f>IFERROR(Table1[[#This Row],[Total Amount]]*Table1[[#This Row],[Discount %]], "Not Found")</f>
        <v>Not Found</v>
      </c>
      <c r="P21" s="10" t="str">
        <f>IFERROR(Table1[[#This Row],[Total Amount]]-Table1[[#This Row],[Discount Amount]], "Not Found")</f>
        <v>Not Found</v>
      </c>
      <c r="Q21" s="6" t="str" cm="1">
        <f t="array" ref="Q21">_xlfn.IFS(Table1[[#This Row],[ Grand Total]]="Not Found", "Not Found", Table1[[#This Row],[ Grand Total]]&gt;50000, "Incentive", TRUE, "No Incentive")</f>
        <v>Not Found</v>
      </c>
      <c r="S21" t="str" cm="1">
        <f t="array" ref="S21:V21">VLOOKUP(S19,Table1[[Employee]:[incentive]],{2,3,4,5},0)</f>
        <v>Finance</v>
      </c>
      <c r="T21" t="str">
        <v>Mayami</v>
      </c>
      <c r="U21" t="str">
        <v>GHI Ltd</v>
      </c>
      <c r="V21" t="str">
        <v>Mouse</v>
      </c>
    </row>
    <row r="22" spans="1:22" x14ac:dyDescent="0.25">
      <c r="A22" s="7">
        <v>46043</v>
      </c>
      <c r="B22" s="6" t="s">
        <v>33</v>
      </c>
      <c r="C22" s="6" t="s">
        <v>57</v>
      </c>
      <c r="D22" s="6" t="s">
        <v>61</v>
      </c>
      <c r="E22" s="6" t="s">
        <v>64</v>
      </c>
      <c r="F22" s="6" t="s">
        <v>70</v>
      </c>
      <c r="G22" s="6" t="s">
        <v>78</v>
      </c>
      <c r="H22" s="6" t="s">
        <v>85</v>
      </c>
      <c r="I22" s="6">
        <v>2</v>
      </c>
      <c r="J22" s="9">
        <v>55000</v>
      </c>
      <c r="K22" s="8">
        <v>7.0000000000000007E-2</v>
      </c>
      <c r="L22" s="6" t="s">
        <v>91</v>
      </c>
      <c r="M22" s="6" t="s">
        <v>95</v>
      </c>
      <c r="N22" s="9">
        <f>IFERROR(Table1[[#This Row],[Qty]]*Table1[[#This Row],[Unit Price ]], "Not Found")</f>
        <v>110000</v>
      </c>
      <c r="O22" s="10">
        <f>IFERROR(Table1[[#This Row],[Total Amount]]*Table1[[#This Row],[Discount %]], "Not Found")</f>
        <v>7700.0000000000009</v>
      </c>
      <c r="P22" s="10">
        <f>IFERROR(Table1[[#This Row],[Total Amount]]-Table1[[#This Row],[Discount Amount]], "Not Found")</f>
        <v>102300</v>
      </c>
      <c r="Q22" s="6" t="str" cm="1">
        <f t="array" ref="Q22">_xlfn.IFS(Table1[[#This Row],[ Grand Total]]="Not Found", "Not Found", Table1[[#This Row],[ Grand Total]]&gt;50000, "Incentive", TRUE, "No Incentive")</f>
        <v>Incentive</v>
      </c>
    </row>
    <row r="23" spans="1:22" x14ac:dyDescent="0.25">
      <c r="A23" s="7">
        <v>46044</v>
      </c>
      <c r="B23" s="6" t="s">
        <v>34</v>
      </c>
      <c r="C23" s="6" t="s">
        <v>58</v>
      </c>
      <c r="D23" s="6" t="s">
        <v>97</v>
      </c>
      <c r="E23" s="6" t="s">
        <v>66</v>
      </c>
      <c r="F23" s="6" t="s">
        <v>71</v>
      </c>
      <c r="G23" s="6" t="s">
        <v>79</v>
      </c>
      <c r="H23" s="6" t="s">
        <v>85</v>
      </c>
      <c r="I23" s="6">
        <v>10</v>
      </c>
      <c r="J23" s="9">
        <v>12000</v>
      </c>
      <c r="K23" s="8">
        <v>0.08</v>
      </c>
      <c r="L23" s="6" t="s">
        <v>90</v>
      </c>
      <c r="M23" s="6" t="s">
        <v>93</v>
      </c>
      <c r="N23" s="9">
        <f>IFERROR(Table1[[#This Row],[Qty]]*Table1[[#This Row],[Unit Price ]], "Not Found")</f>
        <v>120000</v>
      </c>
      <c r="O23" s="10">
        <f>IFERROR(Table1[[#This Row],[Total Amount]]*Table1[[#This Row],[Discount %]], "Not Found")</f>
        <v>9600</v>
      </c>
      <c r="P23" s="10">
        <f>IFERROR(Table1[[#This Row],[Total Amount]]-Table1[[#This Row],[Discount Amount]], "Not Found")</f>
        <v>110400</v>
      </c>
      <c r="Q23" s="6" t="str" cm="1">
        <f t="array" ref="Q23">_xlfn.IFS(Table1[[#This Row],[ Grand Total]]="Not Found", "Not Found", Table1[[#This Row],[ Grand Total]]&gt;50000, "Incentive", TRUE, "No Incentive")</f>
        <v>Incentive</v>
      </c>
    </row>
    <row r="24" spans="1:22" x14ac:dyDescent="0.25">
      <c r="A24" s="7">
        <v>46045</v>
      </c>
      <c r="B24" s="6" t="s">
        <v>35</v>
      </c>
      <c r="C24" s="6" t="s">
        <v>59</v>
      </c>
      <c r="D24" s="6" t="s">
        <v>62</v>
      </c>
      <c r="E24" s="6" t="s">
        <v>64</v>
      </c>
      <c r="F24" s="6" t="s">
        <v>72</v>
      </c>
      <c r="G24" s="6" t="s">
        <v>80</v>
      </c>
      <c r="H24" s="6" t="s">
        <v>87</v>
      </c>
      <c r="I24" s="6">
        <v>4</v>
      </c>
      <c r="J24" s="9">
        <v>1500</v>
      </c>
      <c r="K24" s="8">
        <v>0.05</v>
      </c>
      <c r="L24" s="6" t="s">
        <v>90</v>
      </c>
      <c r="M24" s="6" t="s">
        <v>95</v>
      </c>
      <c r="N24" s="9">
        <f>IFERROR(Table1[[#This Row],[Qty]]*Table1[[#This Row],[Unit Price ]], "Not Found")</f>
        <v>6000</v>
      </c>
      <c r="O24" s="10">
        <f>IFERROR(Table1[[#This Row],[Total Amount]]*Table1[[#This Row],[Discount %]], "Not Found")</f>
        <v>300</v>
      </c>
      <c r="P24" s="10">
        <f>IFERROR(Table1[[#This Row],[Total Amount]]-Table1[[#This Row],[Discount Amount]], "Not Found")</f>
        <v>5700</v>
      </c>
      <c r="Q24" s="6" t="str" cm="1">
        <f t="array" ref="Q24">_xlfn.IFS(Table1[[#This Row],[ Grand Total]]="Not Found", "Not Found", Table1[[#This Row],[ Grand Total]]&gt;50000, "Incentive", TRUE, "No Incentive")</f>
        <v>No Incentive</v>
      </c>
    </row>
    <row r="25" spans="1:22" x14ac:dyDescent="0.25">
      <c r="A25" s="7">
        <v>46046</v>
      </c>
      <c r="B25" s="6" t="s">
        <v>36</v>
      </c>
      <c r="C25" s="6" t="s">
        <v>60</v>
      </c>
      <c r="D25" s="6" t="s">
        <v>61</v>
      </c>
      <c r="E25" s="6" t="s">
        <v>68</v>
      </c>
      <c r="F25" s="6" t="s">
        <v>73</v>
      </c>
      <c r="G25" s="6" t="s">
        <v>81</v>
      </c>
      <c r="H25" s="6" t="s">
        <v>88</v>
      </c>
      <c r="I25" s="6">
        <v>3</v>
      </c>
      <c r="J25" s="9">
        <v>8500</v>
      </c>
      <c r="K25" s="8">
        <v>0.06</v>
      </c>
      <c r="L25" s="6" t="s">
        <v>92</v>
      </c>
      <c r="M25" s="6" t="s">
        <v>93</v>
      </c>
      <c r="N25" s="9">
        <f>IFERROR(Table1[[#This Row],[Qty]]*Table1[[#This Row],[Unit Price ]], "Not Found")</f>
        <v>25500</v>
      </c>
      <c r="O25" s="10">
        <f>IFERROR(Table1[[#This Row],[Total Amount]]*Table1[[#This Row],[Discount %]], "Not Found")</f>
        <v>1530</v>
      </c>
      <c r="P25" s="10">
        <f>IFERROR(Table1[[#This Row],[Total Amount]]-Table1[[#This Row],[Discount Amount]], "Not Found")</f>
        <v>23970</v>
      </c>
      <c r="Q25" s="6" t="str" cm="1">
        <f t="array" ref="Q25">_xlfn.IFS(Table1[[#This Row],[ Grand Total]]="Not Found", "Not Found", Table1[[#This Row],[ Grand Total]]&gt;50000, "Incentive", TRUE, "No Incentive")</f>
        <v>No Incentive</v>
      </c>
    </row>
  </sheetData>
  <conditionalFormatting sqref="M2:N25">
    <cfRule type="cellIs" dxfId="4" priority="3" operator="equal">
      <formula>"Pending"</formula>
    </cfRule>
    <cfRule type="cellIs" dxfId="3" priority="4" operator="equal">
      <formula>"Pending"</formula>
    </cfRule>
    <cfRule type="cellIs" dxfId="2" priority="5" operator="equal">
      <formula>"Completed"</formula>
    </cfRule>
  </conditionalFormatting>
  <conditionalFormatting sqref="N2:P25">
    <cfRule type="cellIs" dxfId="1" priority="2" operator="equal">
      <formula>"Not Found"</formula>
    </cfRule>
  </conditionalFormatting>
  <conditionalFormatting sqref="Q2:Q25">
    <cfRule type="cellIs" dxfId="0" priority="1" operator="equal">
      <formula>"Not Found"</formula>
    </cfRule>
  </conditionalFormatting>
  <dataValidations count="4">
    <dataValidation type="list" allowBlank="1" showInputMessage="1" showErrorMessage="1" sqref="L2:L25" xr:uid="{32FC5C5C-0EC9-46A8-8C89-022137CF84A0}">
      <formula1>"UPI, Card, Cash"</formula1>
    </dataValidation>
    <dataValidation type="list" allowBlank="1" showInputMessage="1" showErrorMessage="1" sqref="S6" xr:uid="{7A86F2F6-1BF6-4F39-89C3-8F4849C13AF7}">
      <formula1>$V$3:$V$9</formula1>
    </dataValidation>
    <dataValidation type="list" allowBlank="1" showInputMessage="1" showErrorMessage="1" sqref="T6:U6" xr:uid="{EC142BBA-1292-4404-A8F3-F3A2B762FC05}">
      <formula1>$W$3:$W$5</formula1>
    </dataValidation>
    <dataValidation type="list" allowBlank="1" showInputMessage="1" showErrorMessage="1" sqref="S19" xr:uid="{D85368D0-B111-43BB-87F0-55A4DB0080BF}">
      <formula1>$C$2:$C$25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Messy_Data</vt:lpstr>
      <vt:lpstr>Sheet1</vt:lpstr>
      <vt:lpstr>Cleangin Data</vt:lpstr>
      <vt:lpstr>Product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2026-09-28T13:06:26Z</dcterms:modified>
</cp:coreProperties>
</file>