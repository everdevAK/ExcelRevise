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ork\Desktop\excelPractise\intermediate_excel\"/>
    </mc:Choice>
  </mc:AlternateContent>
  <xr:revisionPtr revIDLastSave="0" documentId="13_ncr:1_{BB5BAE84-BB72-4296-B749-FAB6FECA3D6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xample" sheetId="1" r:id="rId1"/>
    <sheet name="VLOOKUP (Exact)" sheetId="2" r:id="rId2"/>
    <sheet name="Parts Catalogue" sheetId="3" r:id="rId3"/>
  </sheets>
  <definedNames>
    <definedName name="Parts_Catalogue">'Parts Catalogue'!$A$3:$C$29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4" i="2"/>
  <c r="C5" i="2"/>
  <c r="C6" i="2"/>
  <c r="C7" i="2"/>
  <c r="C8" i="2"/>
  <c r="C9" i="2"/>
  <c r="C10" i="2"/>
  <c r="C4" i="2"/>
  <c r="G6" i="1"/>
  <c r="G5" i="1"/>
</calcChain>
</file>

<file path=xl/sharedStrings.xml><?xml version="1.0" encoding="utf-8"?>
<sst xmlns="http://schemas.openxmlformats.org/spreadsheetml/2006/main" count="65" uniqueCount="44">
  <si>
    <t xml:space="preserve">Order No </t>
  </si>
  <si>
    <t xml:space="preserve">Item </t>
  </si>
  <si>
    <t>Price</t>
  </si>
  <si>
    <t>Order No:</t>
  </si>
  <si>
    <t>Item</t>
  </si>
  <si>
    <t>Yellow Shirt</t>
  </si>
  <si>
    <t>Green Shirt</t>
  </si>
  <si>
    <t>Blue Shirt</t>
  </si>
  <si>
    <t>White Shirt</t>
  </si>
  <si>
    <t xml:space="preserve">Red Shirt </t>
  </si>
  <si>
    <t>Red Shirt</t>
  </si>
  <si>
    <t xml:space="preserve">White Shirt </t>
  </si>
  <si>
    <t xml:space="preserve">VLOOKUP </t>
  </si>
  <si>
    <t>Lookup Information using VLOOKUP (Exact Match)</t>
  </si>
  <si>
    <t>Part No.</t>
  </si>
  <si>
    <t>Description</t>
  </si>
  <si>
    <t>Unit price</t>
  </si>
  <si>
    <t>Part Catalogue</t>
  </si>
  <si>
    <t>Part Number</t>
  </si>
  <si>
    <t>Drywall Screws: Collated Drywall Screws : Collated Drywall Black Fine Thread Screws 3.5 x 32mm Pk of 1000</t>
  </si>
  <si>
    <t>Coach Bolts &amp; Coach Screws : A2 Stainless Steel : Threaded Coach Bolts A2 Stainless Steel M10 x 110mm Pack of 10</t>
  </si>
  <si>
    <t>Extractor Fans : Bathroom : Manrose Axial 20W Pullcord Bathroom Fan</t>
  </si>
  <si>
    <t>Door Handles : Lever On Backplate Modern : Urfic Latch Door Handle Victoria Polished Brass</t>
  </si>
  <si>
    <t>Euro Cylinder Locks : 6 Pin Euro Cylinders : Yale Euro Cylinder BS 30x30 SN</t>
  </si>
  <si>
    <t>Hinges : Tee Hinges : Heavy Duty Scotch Tee Hinge 457mm Pack of 2</t>
  </si>
  <si>
    <t>Cable Management : Flexible Conduit : Flexible Conduit &amp; Gland Kit 10m x 25mm</t>
  </si>
  <si>
    <t>Door Handles : Lever On Backplate Modern : Toulouse Lever Back Plate Lever WC Polished Chrome</t>
  </si>
  <si>
    <t>Masonry Screws : Multi Monti : Multi-Monti T-Star Countersunk 6 x 100mm Pack of 50</t>
  </si>
  <si>
    <t>Radiator Valves : Termostatic Radiator Valves (TRBs) : Pegler Terrier II White &amp; Chrome TRV 15mm Angled</t>
  </si>
  <si>
    <t>Chemical Fixings : Threaded Rod : A4 Stainless Steel Threaded Rods M6 x 1000mm Pack of 5</t>
  </si>
  <si>
    <t>Weatherproof Range : IP66 Switches &amp; Sockets : Masterplug Nexus 1G 13A Unswitched Socket</t>
  </si>
  <si>
    <t>Door Handles : Lever On Backplate Modern : Serozzetta Cuatro Lever on BackPlate Latch Polished Chrome</t>
  </si>
  <si>
    <t>Door Handles : Lever On Backplate Modern : Toulouse Lever Lock Polished Chrome &amp; Stain Nickel</t>
  </si>
  <si>
    <t>Masonry Screws : Multi Monti : Multi-Monti Flanged Hex Head 7.5 x 60mm Pack of 50</t>
  </si>
  <si>
    <t>Door Handles : Lever On Backplate Modern : Serozzetta Uno Lever on Backplate Lock Polished Chrome</t>
  </si>
  <si>
    <t>Bolts: BZP High Tensile Bolts : BZP HT Hex Bolts M16X110 Pack Of 25</t>
  </si>
  <si>
    <t>Power Saw Blades : Various Material Saw Blades : Disston Remgrit Recip. Saw Blades 200mm PK5</t>
  </si>
  <si>
    <t>Set Screws : BZP Set Screws : BZP Setscrews M16X 60 Pack Of 25</t>
  </si>
  <si>
    <t>Draught &amp; Rain Excluders : Thresholds : Compression Draught Excluder Gold Anodised 914mm</t>
  </si>
  <si>
    <t>Door Handles : Lever On Backplate Modern : Serozzetta Dos Lever on Backplate Lock Polished Chrome</t>
  </si>
  <si>
    <t>Door Handles : Lever On Backplate Modern : Serozzetta Cuatro Lever on Backplate Latch Satin Chrome</t>
  </si>
  <si>
    <t>Roofing Screws : Roofing To Steel Screws : Self Drilling Screws with Washer 5.5 x 55mm Pack of 100</t>
  </si>
  <si>
    <t>Set Screws : BZP Set Screws : BZP Setscrews M20X50 Pack Of 25</t>
  </si>
  <si>
    <t xml:space="preserve">Switches &amp; Sockets : Crabtree Polished Brass LP : Crabtree 13A Sw FCU Polished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</si>
</sst>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Aptos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3">
    <xf numFmtId="0" fontId="0" fillId="0" borderId="0" xfId="0"/>
    <xf numFmtId="0" fontId="1" fillId="0" borderId="1" xfId="1" applyAlignment="1">
      <alignment vertical="center"/>
    </xf>
    <xf numFmtId="0" fontId="3" fillId="2" borderId="2" xfId="0" applyFont="1" applyFill="1" applyBorder="1"/>
    <xf numFmtId="0" fontId="0" fillId="0" borderId="2" xfId="0" applyBorder="1"/>
    <xf numFmtId="0" fontId="2" fillId="3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44" fontId="0" fillId="0" borderId="0" xfId="0" applyNumberFormat="1"/>
    <xf numFmtId="44" fontId="0" fillId="0" borderId="2" xfId="0" applyNumberFormat="1" applyBorder="1"/>
    <xf numFmtId="0" fontId="2" fillId="3" borderId="2" xfId="0" applyFont="1" applyFill="1" applyBorder="1" applyAlignment="1">
      <alignment horizontal="left"/>
    </xf>
    <xf numFmtId="0" fontId="0" fillId="0" borderId="2" xfId="0" applyBorder="1" applyAlignment="1">
      <alignment vertical="top"/>
    </xf>
    <xf numFmtId="0" fontId="0" fillId="0" borderId="2" xfId="0" applyBorder="1" applyAlignment="1">
      <alignment wrapText="1"/>
    </xf>
    <xf numFmtId="0" fontId="0" fillId="0" borderId="2" xfId="0" applyFill="1" applyBorder="1" applyAlignment="1">
      <alignment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workbookViewId="0">
      <selection activeCell="I12" sqref="I12"/>
    </sheetView>
  </sheetViews>
  <sheetFormatPr defaultRowHeight="15" x14ac:dyDescent="0.25"/>
  <cols>
    <col min="1" max="1" width="12.42578125" customWidth="1"/>
    <col min="2" max="2" width="16.42578125" customWidth="1"/>
    <col min="3" max="3" width="12.7109375" customWidth="1"/>
    <col min="6" max="6" width="11.85546875" customWidth="1"/>
    <col min="7" max="7" width="20.85546875" customWidth="1"/>
  </cols>
  <sheetData>
    <row r="1" spans="1:7" s="1" customFormat="1" ht="25.5" customHeight="1" thickBot="1" x14ac:dyDescent="0.3">
      <c r="A1" s="1" t="s">
        <v>12</v>
      </c>
    </row>
    <row r="2" spans="1:7" ht="15.75" thickTop="1" x14ac:dyDescent="0.25"/>
    <row r="3" spans="1:7" x14ac:dyDescent="0.25">
      <c r="A3" s="2" t="s">
        <v>0</v>
      </c>
      <c r="B3" s="2" t="s">
        <v>1</v>
      </c>
      <c r="C3" s="2" t="s">
        <v>2</v>
      </c>
      <c r="F3" s="2" t="s">
        <v>3</v>
      </c>
      <c r="G3" s="3">
        <v>22288</v>
      </c>
    </row>
    <row r="4" spans="1:7" x14ac:dyDescent="0.25">
      <c r="A4" s="3">
        <v>24559</v>
      </c>
      <c r="B4" s="3" t="s">
        <v>5</v>
      </c>
      <c r="C4" s="8">
        <v>10</v>
      </c>
    </row>
    <row r="5" spans="1:7" x14ac:dyDescent="0.25">
      <c r="A5" s="3">
        <v>21273</v>
      </c>
      <c r="B5" s="3" t="s">
        <v>6</v>
      </c>
      <c r="C5" s="8">
        <v>12</v>
      </c>
      <c r="F5" s="2" t="s">
        <v>4</v>
      </c>
      <c r="G5" s="3" t="str">
        <f>VLOOKUP(G3,A3:C28,2,FALSE)</f>
        <v>Yellow Shirt</v>
      </c>
    </row>
    <row r="6" spans="1:7" x14ac:dyDescent="0.25">
      <c r="A6" s="3">
        <v>23056</v>
      </c>
      <c r="B6" s="3" t="s">
        <v>6</v>
      </c>
      <c r="C6" s="8">
        <v>12</v>
      </c>
      <c r="F6" s="2" t="s">
        <v>2</v>
      </c>
      <c r="G6" s="8">
        <f>VLOOKUP(G3,A3:C28,3,FALSE)</f>
        <v>10</v>
      </c>
    </row>
    <row r="7" spans="1:7" x14ac:dyDescent="0.25">
      <c r="A7" s="3">
        <v>25019</v>
      </c>
      <c r="B7" s="3" t="s">
        <v>7</v>
      </c>
      <c r="C7" s="8">
        <v>15</v>
      </c>
    </row>
    <row r="8" spans="1:7" x14ac:dyDescent="0.25">
      <c r="A8" s="3">
        <v>22288</v>
      </c>
      <c r="B8" s="3" t="s">
        <v>5</v>
      </c>
      <c r="C8" s="8">
        <v>10</v>
      </c>
    </row>
    <row r="9" spans="1:7" x14ac:dyDescent="0.25">
      <c r="A9" s="3">
        <v>25822</v>
      </c>
      <c r="B9" s="3" t="s">
        <v>8</v>
      </c>
      <c r="C9" s="8">
        <v>17</v>
      </c>
    </row>
    <row r="10" spans="1:7" x14ac:dyDescent="0.25">
      <c r="A10" s="3">
        <v>23435</v>
      </c>
      <c r="B10" s="3" t="s">
        <v>5</v>
      </c>
      <c r="C10" s="8">
        <v>10</v>
      </c>
    </row>
    <row r="11" spans="1:7" x14ac:dyDescent="0.25">
      <c r="A11" s="3">
        <v>20209</v>
      </c>
      <c r="B11" s="3" t="s">
        <v>9</v>
      </c>
      <c r="C11" s="8">
        <v>20</v>
      </c>
    </row>
    <row r="12" spans="1:7" x14ac:dyDescent="0.25">
      <c r="A12" s="3">
        <v>25970</v>
      </c>
      <c r="B12" s="3" t="s">
        <v>10</v>
      </c>
      <c r="C12" s="8">
        <v>20</v>
      </c>
    </row>
    <row r="13" spans="1:7" x14ac:dyDescent="0.25">
      <c r="A13" s="3">
        <v>21226</v>
      </c>
      <c r="B13" s="3" t="s">
        <v>7</v>
      </c>
      <c r="C13" s="8">
        <v>15</v>
      </c>
    </row>
    <row r="14" spans="1:7" x14ac:dyDescent="0.25">
      <c r="A14" s="3">
        <v>26252</v>
      </c>
      <c r="B14" s="3" t="s">
        <v>11</v>
      </c>
      <c r="C14" s="8">
        <v>17</v>
      </c>
    </row>
    <row r="15" spans="1:7" x14ac:dyDescent="0.25">
      <c r="A15" s="3">
        <v>25115</v>
      </c>
      <c r="B15" s="3" t="s">
        <v>10</v>
      </c>
      <c r="C15" s="8">
        <v>20</v>
      </c>
    </row>
    <row r="16" spans="1:7" x14ac:dyDescent="0.25">
      <c r="A16" s="3">
        <v>24526</v>
      </c>
      <c r="B16" s="3" t="s">
        <v>10</v>
      </c>
      <c r="C16" s="8">
        <v>20</v>
      </c>
    </row>
    <row r="17" spans="1:3" x14ac:dyDescent="0.25">
      <c r="A17" s="3">
        <v>22124</v>
      </c>
      <c r="B17" s="3" t="s">
        <v>10</v>
      </c>
      <c r="C17" s="8">
        <v>20</v>
      </c>
    </row>
    <row r="18" spans="1:3" x14ac:dyDescent="0.25">
      <c r="A18" s="3">
        <v>21610</v>
      </c>
      <c r="B18" s="3" t="s">
        <v>10</v>
      </c>
      <c r="C18" s="8">
        <v>20</v>
      </c>
    </row>
    <row r="19" spans="1:3" x14ac:dyDescent="0.25">
      <c r="A19" s="3">
        <v>25279</v>
      </c>
      <c r="B19" s="3" t="s">
        <v>10</v>
      </c>
      <c r="C19" s="8">
        <v>20</v>
      </c>
    </row>
    <row r="20" spans="1:3" x14ac:dyDescent="0.25">
      <c r="A20" s="3">
        <v>27259</v>
      </c>
      <c r="B20" s="3" t="s">
        <v>11</v>
      </c>
      <c r="C20" s="8">
        <v>17</v>
      </c>
    </row>
    <row r="21" spans="1:3" x14ac:dyDescent="0.25">
      <c r="A21" s="3">
        <v>24448</v>
      </c>
      <c r="B21" s="3" t="s">
        <v>8</v>
      </c>
      <c r="C21" s="8">
        <v>17</v>
      </c>
    </row>
    <row r="22" spans="1:3" x14ac:dyDescent="0.25">
      <c r="A22" s="3">
        <v>25849</v>
      </c>
      <c r="B22" s="3" t="s">
        <v>10</v>
      </c>
      <c r="C22" s="8">
        <v>20</v>
      </c>
    </row>
    <row r="23" spans="1:3" x14ac:dyDescent="0.25">
      <c r="A23" s="3">
        <v>20100</v>
      </c>
      <c r="B23" s="3" t="s">
        <v>8</v>
      </c>
      <c r="C23" s="8">
        <v>17</v>
      </c>
    </row>
    <row r="24" spans="1:3" x14ac:dyDescent="0.25">
      <c r="A24" s="3">
        <v>22672</v>
      </c>
      <c r="B24" s="3" t="s">
        <v>7</v>
      </c>
      <c r="C24" s="8">
        <v>15</v>
      </c>
    </row>
    <row r="25" spans="1:3" x14ac:dyDescent="0.25">
      <c r="A25" s="3">
        <v>24172</v>
      </c>
      <c r="B25" s="3" t="s">
        <v>10</v>
      </c>
      <c r="C25" s="8">
        <v>20</v>
      </c>
    </row>
    <row r="26" spans="1:3" x14ac:dyDescent="0.25">
      <c r="A26" s="3">
        <v>29909</v>
      </c>
      <c r="B26" s="3" t="s">
        <v>7</v>
      </c>
      <c r="C26" s="8">
        <v>15</v>
      </c>
    </row>
    <row r="27" spans="1:3" x14ac:dyDescent="0.25">
      <c r="A27" s="3">
        <v>25317</v>
      </c>
      <c r="B27" s="3" t="s">
        <v>6</v>
      </c>
      <c r="C27" s="8">
        <v>12</v>
      </c>
    </row>
    <row r="28" spans="1:3" x14ac:dyDescent="0.25">
      <c r="A28" s="3">
        <v>24727</v>
      </c>
      <c r="B28" s="3" t="s">
        <v>10</v>
      </c>
      <c r="C28" s="8">
        <v>20</v>
      </c>
    </row>
  </sheetData>
  <mergeCells count="1">
    <mergeCell ref="A1:XFD1"/>
  </mergeCells>
  <dataValidations count="1">
    <dataValidation type="list" allowBlank="1" showInputMessage="1" showErrorMessage="1" sqref="G3" xr:uid="{A28EBA30-B14A-45A3-BED7-3C4515E5EF2A}">
      <formula1>$A$4:$A$28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90F9B-738F-4958-AE41-F9C0F658BB28}">
  <dimension ref="A1:C10"/>
  <sheetViews>
    <sheetView tabSelected="1" workbookViewId="0">
      <selection activeCell="F8" sqref="F8"/>
    </sheetView>
  </sheetViews>
  <sheetFormatPr defaultRowHeight="15" x14ac:dyDescent="0.25"/>
  <cols>
    <col min="1" max="1" width="12.5703125" customWidth="1"/>
    <col min="2" max="2" width="48.140625" customWidth="1"/>
    <col min="3" max="3" width="19.7109375" bestFit="1" customWidth="1"/>
  </cols>
  <sheetData>
    <row r="1" spans="1:3" s="1" customFormat="1" ht="25.5" customHeight="1" thickBot="1" x14ac:dyDescent="0.3">
      <c r="A1" s="1" t="s">
        <v>13</v>
      </c>
    </row>
    <row r="2" spans="1:3" ht="15.75" thickTop="1" x14ac:dyDescent="0.25"/>
    <row r="3" spans="1:3" x14ac:dyDescent="0.25">
      <c r="A3" s="4" t="s">
        <v>14</v>
      </c>
      <c r="B3" s="4" t="s">
        <v>15</v>
      </c>
      <c r="C3" s="4" t="s">
        <v>16</v>
      </c>
    </row>
    <row r="4" spans="1:3" ht="30" x14ac:dyDescent="0.25">
      <c r="A4" s="6">
        <v>19232</v>
      </c>
      <c r="B4" s="5" t="str">
        <f>_xlfn.IFNA(VLOOKUP(A4,Parts_Catalogue,2,FALSE), "Part No. not found!")</f>
        <v>Door Handles : Lever On Backplate Modern : Urfic Latch Door Handle Victoria Polished Brass</v>
      </c>
      <c r="C4" s="7">
        <f>_xlfn.IFNA(VLOOKUP(A4,Parts_Catalogue,3,FALSE), "Part No. not found!")</f>
        <v>18.940000000000001</v>
      </c>
    </row>
    <row r="5" spans="1:3" x14ac:dyDescent="0.25">
      <c r="A5" s="6">
        <v>48133</v>
      </c>
      <c r="B5" s="5" t="str">
        <f>_xlfn.IFNA(VLOOKUP(A5,Parts_Catalogue,2,FALSE), "Part No. not found!")</f>
        <v>Part No. not found!</v>
      </c>
      <c r="C5" s="7" t="str">
        <f>_xlfn.IFNA(VLOOKUP(A5,Parts_Catalogue,3,FALSE), "Part No. not found!")</f>
        <v>Part No. not found!</v>
      </c>
    </row>
    <row r="6" spans="1:3" x14ac:dyDescent="0.25">
      <c r="A6" s="6">
        <v>12345</v>
      </c>
      <c r="B6" s="5" t="str">
        <f>_xlfn.IFNA(VLOOKUP(A6,Parts_Catalogue,2,FALSE), "Part No. not found!")</f>
        <v>Part No. not found!</v>
      </c>
      <c r="C6" s="7" t="str">
        <f>_xlfn.IFNA(VLOOKUP(A6,Parts_Catalogue,3,FALSE), "Part No. not found!")</f>
        <v>Part No. not found!</v>
      </c>
    </row>
    <row r="7" spans="1:3" x14ac:dyDescent="0.25">
      <c r="A7" s="6">
        <v>75664</v>
      </c>
      <c r="B7" s="5" t="str">
        <f>_xlfn.IFNA(VLOOKUP(A7,Parts_Catalogue,2,FALSE), "Part No. not found!")</f>
        <v>Part No. not found!</v>
      </c>
      <c r="C7" s="7" t="str">
        <f>_xlfn.IFNA(VLOOKUP(A7,Parts_Catalogue,3,FALSE), "Part No. not found!")</f>
        <v>Part No. not found!</v>
      </c>
    </row>
    <row r="8" spans="1:3" x14ac:dyDescent="0.25">
      <c r="A8" s="6">
        <v>51609</v>
      </c>
      <c r="B8" s="5" t="str">
        <f>_xlfn.IFNA(VLOOKUP(A8,Parts_Catalogue,2,FALSE), "Part No. not found!")</f>
        <v>Part No. not found!</v>
      </c>
      <c r="C8" s="7" t="str">
        <f>_xlfn.IFNA(VLOOKUP(A8,Parts_Catalogue,3,FALSE), "Part No. not found!")</f>
        <v>Part No. not found!</v>
      </c>
    </row>
    <row r="9" spans="1:3" ht="30" x14ac:dyDescent="0.25">
      <c r="A9" s="6">
        <v>21356</v>
      </c>
      <c r="B9" s="5" t="str">
        <f>_xlfn.IFNA(VLOOKUP(A9,Parts_Catalogue,2,FALSE), "Part No. not found!")</f>
        <v>Cable Management : Flexible Conduit : Flexible Conduit &amp; Gland Kit 10m x 25mm</v>
      </c>
      <c r="C9" s="7">
        <f>_xlfn.IFNA(VLOOKUP(A9,Parts_Catalogue,3,FALSE), "Part No. not found!")</f>
        <v>18.03</v>
      </c>
    </row>
    <row r="10" spans="1:3" ht="45" x14ac:dyDescent="0.25">
      <c r="A10" s="6">
        <v>23130</v>
      </c>
      <c r="B10" s="5" t="str">
        <f>_xlfn.IFNA(VLOOKUP(A10,Parts_Catalogue,2,FALSE), "Part No. not found!")</f>
        <v>Radiator Valves : Termostatic Radiator Valves (TRBs) : Pegler Terrier II White &amp; Chrome TRV 15mm Angled</v>
      </c>
      <c r="C10" s="7">
        <f>_xlfn.IFNA(VLOOKUP(A10,Parts_Catalogue,3,FALSE), "Part No. not found!")</f>
        <v>18.66</v>
      </c>
    </row>
  </sheetData>
  <mergeCells count="1">
    <mergeCell ref="A1:XF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81BB-9ACA-417E-A913-A424E0607A9B}">
  <dimension ref="A1:C29"/>
  <sheetViews>
    <sheetView topLeftCell="A18" zoomScaleNormal="100" workbookViewId="0">
      <selection activeCell="B33" sqref="B33"/>
    </sheetView>
  </sheetViews>
  <sheetFormatPr defaultRowHeight="15" x14ac:dyDescent="0.25"/>
  <cols>
    <col min="1" max="1" width="14.42578125" style="6" customWidth="1"/>
    <col min="2" max="2" width="68.42578125" customWidth="1"/>
    <col min="3" max="3" width="13.42578125" style="7" customWidth="1"/>
  </cols>
  <sheetData>
    <row r="1" spans="1:3" s="1" customFormat="1" ht="25.5" customHeight="1" thickBot="1" x14ac:dyDescent="0.3">
      <c r="A1" s="1" t="s">
        <v>17</v>
      </c>
    </row>
    <row r="2" spans="1:3" ht="15.75" thickTop="1" x14ac:dyDescent="0.25">
      <c r="A2"/>
      <c r="C2"/>
    </row>
    <row r="3" spans="1:3" x14ac:dyDescent="0.25">
      <c r="A3" s="9" t="s">
        <v>18</v>
      </c>
      <c r="B3" s="9" t="s">
        <v>15</v>
      </c>
      <c r="C3" s="9" t="s">
        <v>2</v>
      </c>
    </row>
    <row r="4" spans="1:3" ht="33" customHeight="1" x14ac:dyDescent="0.25">
      <c r="A4" s="10">
        <v>15005</v>
      </c>
      <c r="B4" s="11" t="s">
        <v>19</v>
      </c>
      <c r="C4" s="8">
        <v>19.04</v>
      </c>
    </row>
    <row r="5" spans="1:3" ht="30" x14ac:dyDescent="0.25">
      <c r="A5" s="10">
        <v>16801</v>
      </c>
      <c r="B5" s="11" t="s">
        <v>20</v>
      </c>
      <c r="C5" s="8">
        <v>18.7</v>
      </c>
    </row>
    <row r="6" spans="1:3" x14ac:dyDescent="0.25">
      <c r="A6" s="10">
        <v>17122</v>
      </c>
      <c r="B6" s="11" t="s">
        <v>21</v>
      </c>
      <c r="C6" s="8">
        <v>17.850000000000001</v>
      </c>
    </row>
    <row r="7" spans="1:3" ht="32.25" customHeight="1" x14ac:dyDescent="0.25">
      <c r="A7" s="10">
        <v>19232</v>
      </c>
      <c r="B7" s="11" t="s">
        <v>22</v>
      </c>
      <c r="C7" s="8">
        <v>18.940000000000001</v>
      </c>
    </row>
    <row r="8" spans="1:3" x14ac:dyDescent="0.25">
      <c r="A8" s="10">
        <v>20343</v>
      </c>
      <c r="B8" s="11" t="s">
        <v>23</v>
      </c>
      <c r="C8" s="8">
        <v>18.940000000000001</v>
      </c>
    </row>
    <row r="9" spans="1:3" x14ac:dyDescent="0.25">
      <c r="A9" s="10">
        <v>21303</v>
      </c>
      <c r="B9" s="11" t="s">
        <v>24</v>
      </c>
      <c r="C9" s="8">
        <v>19.010000000000002</v>
      </c>
    </row>
    <row r="10" spans="1:3" ht="30" x14ac:dyDescent="0.25">
      <c r="A10" s="10">
        <v>21356</v>
      </c>
      <c r="B10" s="11" t="s">
        <v>25</v>
      </c>
      <c r="C10" s="8">
        <v>18.03</v>
      </c>
    </row>
    <row r="11" spans="1:3" ht="30" x14ac:dyDescent="0.25">
      <c r="A11" s="10">
        <v>22234</v>
      </c>
      <c r="B11" s="11" t="s">
        <v>26</v>
      </c>
      <c r="C11" s="8">
        <v>19.239999999999998</v>
      </c>
    </row>
    <row r="12" spans="1:3" ht="30" x14ac:dyDescent="0.25">
      <c r="A12" s="10">
        <v>23045</v>
      </c>
      <c r="B12" s="11" t="s">
        <v>27</v>
      </c>
      <c r="C12" s="8">
        <v>19.12</v>
      </c>
    </row>
    <row r="13" spans="1:3" ht="30" x14ac:dyDescent="0.25">
      <c r="A13" s="10">
        <v>23130</v>
      </c>
      <c r="B13" s="11" t="s">
        <v>28</v>
      </c>
      <c r="C13" s="8">
        <v>18.66</v>
      </c>
    </row>
    <row r="14" spans="1:3" ht="30" x14ac:dyDescent="0.25">
      <c r="A14" s="10">
        <v>24402</v>
      </c>
      <c r="B14" s="11" t="s">
        <v>29</v>
      </c>
      <c r="C14" s="8">
        <v>18.77</v>
      </c>
    </row>
    <row r="15" spans="1:3" ht="30" x14ac:dyDescent="0.25">
      <c r="A15" s="10">
        <v>25189</v>
      </c>
      <c r="B15" s="11" t="s">
        <v>30</v>
      </c>
      <c r="C15" s="8">
        <v>17.850000000000001</v>
      </c>
    </row>
    <row r="16" spans="1:3" ht="30" x14ac:dyDescent="0.25">
      <c r="A16" s="10">
        <v>25189</v>
      </c>
      <c r="B16" s="11" t="s">
        <v>31</v>
      </c>
      <c r="C16" s="8">
        <v>19.04</v>
      </c>
    </row>
    <row r="17" spans="1:3" x14ac:dyDescent="0.25">
      <c r="A17" s="10">
        <v>25571</v>
      </c>
      <c r="B17" s="11" t="s">
        <v>32</v>
      </c>
      <c r="C17" s="8">
        <v>19.04</v>
      </c>
    </row>
    <row r="18" spans="1:3" ht="30" x14ac:dyDescent="0.25">
      <c r="A18" s="10">
        <v>26905</v>
      </c>
      <c r="B18" s="12" t="s">
        <v>33</v>
      </c>
      <c r="C18" s="8">
        <v>18.73</v>
      </c>
    </row>
    <row r="19" spans="1:3" x14ac:dyDescent="0.25">
      <c r="A19" s="10">
        <v>27495</v>
      </c>
      <c r="B19" s="12" t="s">
        <v>34</v>
      </c>
      <c r="C19" s="8">
        <v>19.04</v>
      </c>
    </row>
    <row r="20" spans="1:3" x14ac:dyDescent="0.25">
      <c r="A20" s="10">
        <v>28788</v>
      </c>
      <c r="B20" s="12" t="s">
        <v>35</v>
      </c>
      <c r="C20" s="8">
        <v>19.170000000000002</v>
      </c>
    </row>
    <row r="21" spans="1:3" x14ac:dyDescent="0.25">
      <c r="A21" s="10">
        <v>30763</v>
      </c>
      <c r="B21" s="12" t="s">
        <v>37</v>
      </c>
      <c r="C21" s="8">
        <v>18.96</v>
      </c>
    </row>
    <row r="22" spans="1:3" ht="30" x14ac:dyDescent="0.25">
      <c r="A22" s="10">
        <v>30871</v>
      </c>
      <c r="B22" s="12" t="s">
        <v>36</v>
      </c>
      <c r="C22" s="8">
        <v>19.170000000000002</v>
      </c>
    </row>
    <row r="23" spans="1:3" ht="30" x14ac:dyDescent="0.25">
      <c r="A23" s="10">
        <v>31020</v>
      </c>
      <c r="B23" s="12" t="s">
        <v>38</v>
      </c>
      <c r="C23" s="8">
        <v>19.079999999999998</v>
      </c>
    </row>
    <row r="24" spans="1:3" x14ac:dyDescent="0.25">
      <c r="A24" s="10">
        <v>32759</v>
      </c>
      <c r="B24" s="12" t="s">
        <v>39</v>
      </c>
      <c r="C24" s="8">
        <v>18.96</v>
      </c>
    </row>
    <row r="25" spans="1:3" x14ac:dyDescent="0.25">
      <c r="A25" s="10">
        <v>34288</v>
      </c>
      <c r="B25" s="12" t="s">
        <v>40</v>
      </c>
      <c r="C25" s="8">
        <v>19.010000000000002</v>
      </c>
    </row>
    <row r="26" spans="1:3" x14ac:dyDescent="0.25">
      <c r="A26" s="10">
        <v>34328</v>
      </c>
      <c r="B26" s="12" t="s">
        <v>41</v>
      </c>
      <c r="C26" s="8">
        <v>18.73</v>
      </c>
    </row>
    <row r="27" spans="1:3" x14ac:dyDescent="0.25">
      <c r="A27" s="10">
        <v>37654</v>
      </c>
      <c r="B27" s="12" t="s">
        <v>42</v>
      </c>
      <c r="C27" s="8">
        <v>19.010000000000002</v>
      </c>
    </row>
    <row r="28" spans="1:3" x14ac:dyDescent="0.25">
      <c r="A28" s="10">
        <v>38849</v>
      </c>
      <c r="B28" s="12"/>
      <c r="C28" s="8">
        <v>18.8</v>
      </c>
    </row>
    <row r="29" spans="1:3" x14ac:dyDescent="0.25">
      <c r="A29" s="10">
        <v>39129</v>
      </c>
      <c r="B29" s="12" t="s">
        <v>43</v>
      </c>
      <c r="C29" s="8">
        <v>18.04</v>
      </c>
    </row>
  </sheetData>
  <mergeCells count="1"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Example</vt:lpstr>
      <vt:lpstr>VLOOKUP (Exact)</vt:lpstr>
      <vt:lpstr>Parts Catalogue</vt:lpstr>
      <vt:lpstr>Parts_Catalogue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2015-06-05T18:17:20Z</dcterms:created>
  <dcterms:modified xsi:type="dcterms:W3CDTF">2026-08-30T13:49:46Z</dcterms:modified>
</cp:coreProperties>
</file>