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"/>
    </mc:Choice>
  </mc:AlternateContent>
  <xr:revisionPtr revIDLastSave="0" documentId="13_ncr:1_{3BAB7FB3-B553-431F-A2DA-855CF9077F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UNTIF_SUMIF_AVERAGEIF" sheetId="1" r:id="rId1"/>
    <sheet name="SUMIFS_COUNTIFS_AVERAGEI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16" i="2"/>
  <c r="I12" i="2"/>
  <c r="I11" i="2"/>
  <c r="I6" i="2"/>
  <c r="I5" i="2"/>
  <c r="I15" i="2"/>
  <c r="I10" i="2"/>
  <c r="I4" i="2"/>
  <c r="I15" i="1"/>
  <c r="I10" i="1"/>
</calcChain>
</file>

<file path=xl/sharedStrings.xml><?xml version="1.0" encoding="utf-8"?>
<sst xmlns="http://schemas.openxmlformats.org/spreadsheetml/2006/main" count="136" uniqueCount="33">
  <si>
    <t>Sales Team</t>
  </si>
  <si>
    <t>Company</t>
  </si>
  <si>
    <t>Job Title</t>
  </si>
  <si>
    <t>Total Sales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</si>
  <si>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</si>
  <si>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</si>
  <si>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</si>
  <si>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</si>
  <si>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</si>
  <si>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</si>
  <si>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</si>
  <si>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David Patterson</t>
  </si>
  <si>
    <t>Chloe Newbury</t>
  </si>
  <si>
    <t>Mrtin Waters</t>
  </si>
  <si>
    <t>Julie Tavistock</t>
  </si>
  <si>
    <t>Kurt Webster</t>
  </si>
  <si>
    <t>Computech</t>
  </si>
  <si>
    <t>MicroWorld</t>
  </si>
  <si>
    <t>Sales Rep</t>
  </si>
  <si>
    <t>Sales Manager</t>
  </si>
  <si>
    <t>CRITERIA</t>
  </si>
  <si>
    <t>SUMIF(S)</t>
  </si>
  <si>
    <t>&gt;7000</t>
  </si>
  <si>
    <t>COUNTIF(S)</t>
  </si>
  <si>
    <t>AVERAGEIF(S)</t>
  </si>
  <si>
    <t>Total Sales for MicroWorld</t>
  </si>
  <si>
    <t>Total Sales for all Sales Reps at MicroWorld</t>
  </si>
  <si>
    <t>Total Sales for all Sales Reps at MicroWorld with more than 7000 in Sales</t>
  </si>
  <si>
    <t>Total Number of Employees at Computech</t>
  </si>
  <si>
    <t>Total Number of Employees at Computech with the job title Sales Manager</t>
  </si>
  <si>
    <t>Total Number of Employees at Computech with the job title Sales Manager with more than 9000 in Sales</t>
  </si>
  <si>
    <t>COUNTIF, SUMIF and AVERAGEIF</t>
  </si>
  <si>
    <t>COUNTIF(S), SUMIF(S) and AVERAGEIF(S)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</si>
</sst>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0" fillId="0" borderId="2" xfId="0" applyBorder="1"/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44" fontId="0" fillId="0" borderId="2" xfId="0" applyNumberFormat="1" applyBorder="1"/>
    <xf numFmtId="0" fontId="6" fillId="0" borderId="3" xfId="0" applyFont="1" applyBorder="1"/>
    <xf numFmtId="0" fontId="6" fillId="0" borderId="0" xfId="0" applyFont="1"/>
    <xf numFmtId="0" fontId="1" fillId="0" borderId="1" xfId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6" fillId="4" borderId="3" xfId="0" applyFont="1" applyFill="1" applyBorder="1"/>
    <xf numFmtId="0" fontId="6" fillId="4" borderId="0" xfId="0" applyFont="1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zoomScale="85" zoomScaleNormal="85" workbookViewId="0">
      <selection activeCell="M16" sqref="M16"/>
    </sheetView>
  </sheetViews>
  <sheetFormatPr defaultRowHeight="15" x14ac:dyDescent="0.25"/>
  <cols>
    <col min="1" max="4" width="17.5703125" customWidth="1"/>
    <col min="6" max="6" width="13" customWidth="1"/>
    <col min="7" max="7" width="16.42578125" customWidth="1"/>
    <col min="8" max="8" width="10.42578125" customWidth="1"/>
    <col min="9" max="9" width="20.140625" customWidth="1"/>
  </cols>
  <sheetData>
    <row r="1" spans="1:19" s="8" customFormat="1" ht="34.5" customHeight="1" thickBot="1" x14ac:dyDescent="0.3">
      <c r="A1" s="8" t="s">
        <v>31</v>
      </c>
    </row>
    <row r="2" spans="1:19" ht="15.75" thickTop="1" x14ac:dyDescent="0.25"/>
    <row r="3" spans="1:19" x14ac:dyDescent="0.25">
      <c r="A3" s="2" t="s">
        <v>0</v>
      </c>
      <c r="B3" s="2" t="s">
        <v>1</v>
      </c>
      <c r="C3" s="2" t="s">
        <v>2</v>
      </c>
      <c r="D3" s="2" t="s">
        <v>3</v>
      </c>
      <c r="F3" s="9" t="s">
        <v>20</v>
      </c>
      <c r="G3" s="9"/>
      <c r="H3" s="9"/>
      <c r="I3" s="4" t="s">
        <v>21</v>
      </c>
    </row>
    <row r="4" spans="1:19" x14ac:dyDescent="0.25">
      <c r="A4" s="1" t="s">
        <v>4</v>
      </c>
      <c r="B4" s="1" t="s">
        <v>16</v>
      </c>
      <c r="C4" s="1" t="s">
        <v>18</v>
      </c>
      <c r="D4" s="5">
        <v>7270</v>
      </c>
      <c r="F4" s="3" t="s">
        <v>17</v>
      </c>
      <c r="G4" s="1"/>
      <c r="H4" s="1"/>
      <c r="I4" s="5">
        <f>SUMIF(B4:B15,F4,D4:D15)</f>
        <v>45549</v>
      </c>
      <c r="J4" s="6" t="s">
        <v>25</v>
      </c>
      <c r="K4" s="7"/>
      <c r="L4" s="7"/>
    </row>
    <row r="5" spans="1:19" x14ac:dyDescent="0.25">
      <c r="A5" s="1" t="s">
        <v>5</v>
      </c>
      <c r="B5" s="1" t="s">
        <v>17</v>
      </c>
      <c r="C5" s="1" t="s">
        <v>19</v>
      </c>
      <c r="D5" s="5">
        <v>9250</v>
      </c>
      <c r="F5" s="3" t="s">
        <v>17</v>
      </c>
      <c r="G5" s="3" t="s">
        <v>18</v>
      </c>
      <c r="H5" s="1"/>
      <c r="I5" s="1"/>
      <c r="J5" s="6" t="s">
        <v>26</v>
      </c>
      <c r="K5" s="7"/>
      <c r="L5" s="7"/>
      <c r="M5" s="7"/>
      <c r="N5" s="7"/>
    </row>
    <row r="6" spans="1:19" x14ac:dyDescent="0.25">
      <c r="A6" s="1" t="s">
        <v>6</v>
      </c>
      <c r="B6" s="1" t="s">
        <v>17</v>
      </c>
      <c r="C6" s="1" t="s">
        <v>18</v>
      </c>
      <c r="D6" s="5">
        <v>6201</v>
      </c>
      <c r="F6" s="3" t="s">
        <v>17</v>
      </c>
      <c r="G6" s="3" t="s">
        <v>18</v>
      </c>
      <c r="H6" s="3" t="s">
        <v>22</v>
      </c>
      <c r="I6" s="1"/>
      <c r="J6" s="10" t="s">
        <v>27</v>
      </c>
      <c r="K6" s="11"/>
      <c r="L6" s="11"/>
      <c r="M6" s="11"/>
      <c r="N6" s="11"/>
      <c r="O6" s="11"/>
      <c r="P6" s="11"/>
      <c r="Q6" s="11"/>
    </row>
    <row r="7" spans="1:19" x14ac:dyDescent="0.25">
      <c r="A7" s="1" t="s">
        <v>7</v>
      </c>
      <c r="B7" s="1" t="s">
        <v>16</v>
      </c>
      <c r="C7" s="1" t="s">
        <v>19</v>
      </c>
      <c r="D7" s="5">
        <v>7480</v>
      </c>
    </row>
    <row r="8" spans="1:19" x14ac:dyDescent="0.25">
      <c r="A8" s="1" t="s">
        <v>8</v>
      </c>
      <c r="B8" s="1" t="s">
        <v>17</v>
      </c>
      <c r="C8" s="1" t="s">
        <v>18</v>
      </c>
      <c r="D8" s="5">
        <v>7764</v>
      </c>
    </row>
    <row r="9" spans="1:19" x14ac:dyDescent="0.25">
      <c r="A9" s="1" t="s">
        <v>9</v>
      </c>
      <c r="B9" s="1" t="s">
        <v>17</v>
      </c>
      <c r="C9" s="1" t="s">
        <v>19</v>
      </c>
      <c r="D9" s="5">
        <v>9240</v>
      </c>
      <c r="F9" s="9" t="s">
        <v>20</v>
      </c>
      <c r="G9" s="9"/>
      <c r="H9" s="9"/>
      <c r="I9" s="4" t="s">
        <v>23</v>
      </c>
      <c r="J9" s="6" t="s">
        <v>28</v>
      </c>
      <c r="K9" s="7"/>
      <c r="L9" s="7"/>
      <c r="M9" s="7"/>
    </row>
    <row r="10" spans="1:19" x14ac:dyDescent="0.25">
      <c r="A10" s="1" t="s">
        <v>10</v>
      </c>
      <c r="B10" s="1" t="s">
        <v>16</v>
      </c>
      <c r="C10" s="1" t="s">
        <v>18</v>
      </c>
      <c r="D10" s="5">
        <v>9329</v>
      </c>
      <c r="F10" s="3" t="s">
        <v>16</v>
      </c>
      <c r="G10" s="1"/>
      <c r="H10" s="1"/>
      <c r="I10" s="1">
        <f>COUNTIF(B4:B15,F10)</f>
        <v>6</v>
      </c>
      <c r="J10" s="6" t="s">
        <v>29</v>
      </c>
      <c r="K10" s="7"/>
      <c r="L10" s="7"/>
      <c r="M10" s="7"/>
      <c r="N10" s="7"/>
      <c r="O10" s="7"/>
      <c r="P10" s="7"/>
    </row>
    <row r="11" spans="1:19" x14ac:dyDescent="0.25">
      <c r="A11" s="1" t="s">
        <v>11</v>
      </c>
      <c r="B11" s="1" t="s">
        <v>17</v>
      </c>
      <c r="C11" s="1" t="s">
        <v>18</v>
      </c>
      <c r="D11" s="5">
        <v>5404</v>
      </c>
      <c r="F11" s="3" t="s">
        <v>16</v>
      </c>
      <c r="G11" s="3" t="s">
        <v>19</v>
      </c>
      <c r="H11" s="1"/>
      <c r="I11" s="1"/>
      <c r="J11" s="6" t="s">
        <v>30</v>
      </c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1" t="s">
        <v>12</v>
      </c>
      <c r="B12" s="1" t="s">
        <v>16</v>
      </c>
      <c r="C12" s="1" t="s">
        <v>19</v>
      </c>
      <c r="D12" s="5">
        <v>6860</v>
      </c>
      <c r="F12" s="3" t="s">
        <v>16</v>
      </c>
      <c r="G12" s="3" t="s">
        <v>19</v>
      </c>
      <c r="H12" s="3" t="s">
        <v>22</v>
      </c>
      <c r="I12" s="1"/>
    </row>
    <row r="13" spans="1:19" x14ac:dyDescent="0.25">
      <c r="A13" s="1" t="s">
        <v>13</v>
      </c>
      <c r="B13" s="1" t="s">
        <v>16</v>
      </c>
      <c r="C13" s="1" t="s">
        <v>18</v>
      </c>
      <c r="D13" s="5">
        <v>7469</v>
      </c>
    </row>
    <row r="14" spans="1:19" x14ac:dyDescent="0.25">
      <c r="A14" s="1" t="s">
        <v>14</v>
      </c>
      <c r="B14" s="1" t="s">
        <v>16</v>
      </c>
      <c r="C14" s="1" t="s">
        <v>19</v>
      </c>
      <c r="D14" s="5">
        <v>9195</v>
      </c>
      <c r="F14" s="9" t="s">
        <v>20</v>
      </c>
      <c r="G14" s="9"/>
      <c r="H14" s="9"/>
      <c r="I14" s="4" t="s">
        <v>24</v>
      </c>
    </row>
    <row r="15" spans="1:19" x14ac:dyDescent="0.25">
      <c r="A15" s="1" t="s">
        <v>15</v>
      </c>
      <c r="B15" s="1" t="s">
        <v>17</v>
      </c>
      <c r="C15" s="1" t="s">
        <v>19</v>
      </c>
      <c r="D15" s="5">
        <v>7690</v>
      </c>
      <c r="F15" s="3" t="s">
        <v>16</v>
      </c>
      <c r="G15" s="1"/>
      <c r="H15" s="1"/>
      <c r="I15" s="5">
        <f>AVERAGEIF(B4:B15,F15,D4:D15)</f>
        <v>7933.833333333333</v>
      </c>
    </row>
    <row r="16" spans="1:19" x14ac:dyDescent="0.25">
      <c r="F16" s="3" t="s">
        <v>16</v>
      </c>
      <c r="G16" s="3" t="s">
        <v>18</v>
      </c>
      <c r="H16" s="1"/>
      <c r="I16" s="1"/>
    </row>
  </sheetData>
  <mergeCells count="10">
    <mergeCell ref="F14:H14"/>
    <mergeCell ref="J4:L4"/>
    <mergeCell ref="J5:N5"/>
    <mergeCell ref="J6:Q6"/>
    <mergeCell ref="J10:P10"/>
    <mergeCell ref="J11:S11"/>
    <mergeCell ref="J9:M9"/>
    <mergeCell ref="A1:XFD1"/>
    <mergeCell ref="F3:H3"/>
    <mergeCell ref="F9:H9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5B97-C09D-4129-BEAB-9248496AA035}">
  <dimension ref="A1:S16"/>
  <sheetViews>
    <sheetView workbookViewId="0">
      <selection activeCell="K17" sqref="K17"/>
    </sheetView>
  </sheetViews>
  <sheetFormatPr defaultRowHeight="15" x14ac:dyDescent="0.25"/>
  <cols>
    <col min="1" max="1" width="15.140625" bestFit="1" customWidth="1"/>
    <col min="2" max="2" width="14.140625" customWidth="1"/>
    <col min="3" max="3" width="16" customWidth="1"/>
    <col min="4" max="4" width="14.28515625" customWidth="1"/>
    <col min="6" max="6" width="11.42578125" bestFit="1" customWidth="1"/>
    <col min="7" max="7" width="13.85546875" bestFit="1" customWidth="1"/>
    <col min="9" max="9" width="16.85546875" customWidth="1"/>
    <col min="13" max="13" width="13.85546875" customWidth="1"/>
  </cols>
  <sheetData>
    <row r="1" spans="1:19" s="8" customFormat="1" ht="28.5" customHeight="1" thickBot="1" x14ac:dyDescent="0.3">
      <c r="A1" s="8" t="s">
        <v>32</v>
      </c>
    </row>
    <row r="2" spans="1:19" ht="15.75" thickTop="1" x14ac:dyDescent="0.25"/>
    <row r="3" spans="1:19" x14ac:dyDescent="0.25">
      <c r="A3" s="2" t="s">
        <v>0</v>
      </c>
      <c r="B3" s="2" t="s">
        <v>1</v>
      </c>
      <c r="C3" s="2" t="s">
        <v>2</v>
      </c>
      <c r="D3" s="2" t="s">
        <v>3</v>
      </c>
      <c r="F3" s="9" t="s">
        <v>20</v>
      </c>
      <c r="G3" s="9"/>
      <c r="H3" s="9"/>
      <c r="I3" s="4" t="s">
        <v>21</v>
      </c>
    </row>
    <row r="4" spans="1:19" x14ac:dyDescent="0.25">
      <c r="A4" s="1" t="s">
        <v>4</v>
      </c>
      <c r="B4" s="1" t="s">
        <v>16</v>
      </c>
      <c r="C4" s="1" t="s">
        <v>18</v>
      </c>
      <c r="D4" s="5">
        <v>7270</v>
      </c>
      <c r="F4" s="3" t="s">
        <v>17</v>
      </c>
      <c r="G4" s="1"/>
      <c r="H4" s="1"/>
      <c r="I4" s="5">
        <f>SUMIF(B4:B15,F4,D4:D15)</f>
        <v>45549</v>
      </c>
      <c r="J4" s="6" t="s">
        <v>25</v>
      </c>
      <c r="K4" s="7"/>
      <c r="L4" s="7"/>
    </row>
    <row r="5" spans="1:19" x14ac:dyDescent="0.25">
      <c r="A5" s="1" t="s">
        <v>5</v>
      </c>
      <c r="B5" s="1" t="s">
        <v>17</v>
      </c>
      <c r="C5" s="1" t="s">
        <v>19</v>
      </c>
      <c r="D5" s="5">
        <v>9250</v>
      </c>
      <c r="F5" s="3" t="s">
        <v>17</v>
      </c>
      <c r="G5" s="3" t="s">
        <v>18</v>
      </c>
      <c r="H5" s="1"/>
      <c r="I5" s="5">
        <f>SUMIFS(D4:D15,B4:B15,F5,C4:C15,G5)</f>
        <v>19369</v>
      </c>
      <c r="J5" s="6" t="s">
        <v>26</v>
      </c>
      <c r="K5" s="7"/>
      <c r="L5" s="7"/>
      <c r="M5" s="7"/>
      <c r="N5" s="7"/>
    </row>
    <row r="6" spans="1:19" x14ac:dyDescent="0.25">
      <c r="A6" s="1" t="s">
        <v>6</v>
      </c>
      <c r="B6" s="1" t="s">
        <v>17</v>
      </c>
      <c r="C6" s="1" t="s">
        <v>18</v>
      </c>
      <c r="D6" s="5">
        <v>6201</v>
      </c>
      <c r="F6" s="3" t="s">
        <v>17</v>
      </c>
      <c r="G6" s="3" t="s">
        <v>18</v>
      </c>
      <c r="H6" s="3" t="s">
        <v>22</v>
      </c>
      <c r="I6" s="5">
        <f>SUMIFS(D4:D15,B4:B15,F6,C4:C15,G6,D4:D15,H6)</f>
        <v>7764</v>
      </c>
      <c r="J6" s="10" t="s">
        <v>27</v>
      </c>
      <c r="K6" s="11"/>
      <c r="L6" s="11"/>
      <c r="M6" s="11"/>
      <c r="N6" s="11"/>
      <c r="O6" s="11"/>
      <c r="P6" s="11"/>
      <c r="Q6" s="11"/>
    </row>
    <row r="7" spans="1:19" x14ac:dyDescent="0.25">
      <c r="A7" s="1" t="s">
        <v>7</v>
      </c>
      <c r="B7" s="1" t="s">
        <v>16</v>
      </c>
      <c r="C7" s="1" t="s">
        <v>19</v>
      </c>
      <c r="D7" s="5">
        <v>7480</v>
      </c>
    </row>
    <row r="8" spans="1:19" x14ac:dyDescent="0.25">
      <c r="A8" s="1" t="s">
        <v>8</v>
      </c>
      <c r="B8" s="1" t="s">
        <v>17</v>
      </c>
      <c r="C8" s="1" t="s">
        <v>18</v>
      </c>
      <c r="D8" s="5">
        <v>7764</v>
      </c>
    </row>
    <row r="9" spans="1:19" x14ac:dyDescent="0.25">
      <c r="A9" s="1" t="s">
        <v>9</v>
      </c>
      <c r="B9" s="1" t="s">
        <v>17</v>
      </c>
      <c r="C9" s="1" t="s">
        <v>19</v>
      </c>
      <c r="D9" s="5">
        <v>9240</v>
      </c>
      <c r="F9" s="9" t="s">
        <v>20</v>
      </c>
      <c r="G9" s="9"/>
      <c r="H9" s="9"/>
      <c r="I9" s="4" t="s">
        <v>23</v>
      </c>
      <c r="J9" s="6" t="s">
        <v>28</v>
      </c>
      <c r="K9" s="7"/>
      <c r="L9" s="7"/>
      <c r="M9" s="7"/>
    </row>
    <row r="10" spans="1:19" x14ac:dyDescent="0.25">
      <c r="A10" s="1" t="s">
        <v>10</v>
      </c>
      <c r="B10" s="1" t="s">
        <v>16</v>
      </c>
      <c r="C10" s="1" t="s">
        <v>18</v>
      </c>
      <c r="D10" s="5">
        <v>9329</v>
      </c>
      <c r="F10" s="3" t="s">
        <v>16</v>
      </c>
      <c r="G10" s="1"/>
      <c r="H10" s="1"/>
      <c r="I10" s="1">
        <f>COUNTIF(B4:B15,F10)</f>
        <v>6</v>
      </c>
      <c r="J10" s="6" t="s">
        <v>29</v>
      </c>
      <c r="K10" s="7"/>
      <c r="L10" s="7"/>
      <c r="M10" s="7"/>
      <c r="N10" s="7"/>
      <c r="O10" s="7"/>
      <c r="P10" s="7"/>
    </row>
    <row r="11" spans="1:19" x14ac:dyDescent="0.25">
      <c r="A11" s="1" t="s">
        <v>11</v>
      </c>
      <c r="B11" s="1" t="s">
        <v>17</v>
      </c>
      <c r="C11" s="1" t="s">
        <v>18</v>
      </c>
      <c r="D11" s="5">
        <v>5404</v>
      </c>
      <c r="F11" s="3" t="s">
        <v>16</v>
      </c>
      <c r="G11" s="3" t="s">
        <v>19</v>
      </c>
      <c r="H11" s="1"/>
      <c r="I11" s="1">
        <f>COUNTIFS(B4:B15,F11,C4:C15,G11)</f>
        <v>3</v>
      </c>
      <c r="J11" s="6" t="s">
        <v>30</v>
      </c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1" t="s">
        <v>12</v>
      </c>
      <c r="B12" s="1" t="s">
        <v>16</v>
      </c>
      <c r="C12" s="1" t="s">
        <v>19</v>
      </c>
      <c r="D12" s="5">
        <v>6860</v>
      </c>
      <c r="F12" s="3" t="s">
        <v>16</v>
      </c>
      <c r="G12" s="3" t="s">
        <v>19</v>
      </c>
      <c r="H12" s="3" t="s">
        <v>22</v>
      </c>
      <c r="I12" s="1">
        <f>COUNTIFS(B4:B15,F12,C4:C15,G12,D4:D15,H12)</f>
        <v>2</v>
      </c>
    </row>
    <row r="13" spans="1:19" x14ac:dyDescent="0.25">
      <c r="A13" s="1" t="s">
        <v>13</v>
      </c>
      <c r="B13" s="1" t="s">
        <v>16</v>
      </c>
      <c r="C13" s="1" t="s">
        <v>18</v>
      </c>
      <c r="D13" s="5">
        <v>7469</v>
      </c>
    </row>
    <row r="14" spans="1:19" x14ac:dyDescent="0.25">
      <c r="A14" s="1" t="s">
        <v>14</v>
      </c>
      <c r="B14" s="1" t="s">
        <v>16</v>
      </c>
      <c r="C14" s="1" t="s">
        <v>19</v>
      </c>
      <c r="D14" s="5">
        <v>9195</v>
      </c>
      <c r="F14" s="9" t="s">
        <v>20</v>
      </c>
      <c r="G14" s="9"/>
      <c r="H14" s="9"/>
      <c r="I14" s="4" t="s">
        <v>24</v>
      </c>
    </row>
    <row r="15" spans="1:19" x14ac:dyDescent="0.25">
      <c r="A15" s="1" t="s">
        <v>15</v>
      </c>
      <c r="B15" s="1" t="s">
        <v>17</v>
      </c>
      <c r="C15" s="1" t="s">
        <v>19</v>
      </c>
      <c r="D15" s="5">
        <v>7690</v>
      </c>
      <c r="F15" s="3" t="s">
        <v>16</v>
      </c>
      <c r="G15" s="1"/>
      <c r="H15" s="1"/>
      <c r="I15" s="5">
        <f>AVERAGEIF(B4:B15,F15,D4:D15)</f>
        <v>7933.833333333333</v>
      </c>
    </row>
    <row r="16" spans="1:19" x14ac:dyDescent="0.25">
      <c r="F16" s="3" t="s">
        <v>16</v>
      </c>
      <c r="G16" s="3" t="s">
        <v>18</v>
      </c>
      <c r="H16" s="1"/>
      <c r="I16" s="5">
        <f>AVERAGEIFS(D4:D15,B4:B15,F16,C4:C15,G16)</f>
        <v>8022.666666666667</v>
      </c>
    </row>
  </sheetData>
  <mergeCells count="10">
    <mergeCell ref="J10:P10"/>
    <mergeCell ref="J11:S11"/>
    <mergeCell ref="F14:H14"/>
    <mergeCell ref="A1:XFD1"/>
    <mergeCell ref="F3:H3"/>
    <mergeCell ref="J4:L4"/>
    <mergeCell ref="J5:N5"/>
    <mergeCell ref="J6:Q6"/>
    <mergeCell ref="F9:H9"/>
    <mergeCell ref="J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COUNTIF_SUMIF_AVERAGEIF</vt:lpstr>
      <vt:lpstr>SUMIFS_COUNTIFS_AVERAGEIFS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2026-08-26T14:43:05Z</dcterms:modified>
</cp:coreProperties>
</file>