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ork\Desktop\excelPractise\intermediate_excel\"/>
    </mc:Choice>
  </mc:AlternateContent>
  <xr:revisionPtr revIDLastSave="0" documentId="13_ncr:1_{D49DA071-653E-4F0A-B10F-6A5352643DE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xercise01" sheetId="1" r:id="rId1"/>
    <sheet name="Exercise0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2" l="1"/>
  <c r="H16" i="2"/>
  <c r="H15" i="2"/>
  <c r="H11" i="2"/>
  <c r="H10" i="2"/>
  <c r="H9" i="2"/>
  <c r="E27" i="2" a="1"/>
  <c r="E26" i="2" a="1"/>
  <c r="E25" i="2" a="1"/>
  <c r="E24" i="2" a="1"/>
  <c r="E23" i="2" a="1"/>
  <c r="E22" i="2" a="1"/>
  <c r="E21" i="2" a="1"/>
  <c r="E20" i="2" a="1"/>
  <c r="E19" i="2" a="1"/>
  <c r="E18" i="2" a="1"/>
  <c r="E17" i="2" a="1"/>
  <c r="E16" i="2" a="1"/>
  <c r="E15" i="2" a="1"/>
  <c r="E14" i="2" a="1"/>
  <c r="E13" i="2" a="1"/>
  <c r="E12" i="2" a="1"/>
  <c r="E11" i="2" a="1"/>
  <c r="E10" i="2" a="1"/>
  <c r="E9" i="2" a="1"/>
  <c r="E8" i="2" a="1"/>
  <c r="E7" i="2" a="1"/>
  <c r="E6" i="2" a="1"/>
  <c r="E5" i="2" a="1"/>
  <c r="E4" i="2" a="1"/>
  <c r="E5" i="1" a="1"/>
  <c r="E6" i="1" a="1"/>
  <c r="E7" i="1" a="1"/>
  <c r="E8" i="1" a="1"/>
  <c r="E9" i="1" a="1"/>
  <c r="E10" i="1" a="1"/>
  <c r="E11" i="1" a="1"/>
  <c r="E12" i="1" a="1"/>
  <c r="E13" i="1" a="1"/>
  <c r="E14" i="1" a="1"/>
  <c r="E15" i="1" a="1"/>
  <c r="E16" i="1" a="1"/>
  <c r="E17" i="1" a="1"/>
  <c r="E18" i="1" a="1"/>
  <c r="E19" i="1" a="1"/>
  <c r="E20" i="1" a="1"/>
  <c r="E21" i="1" a="1"/>
  <c r="E22" i="1" a="1"/>
  <c r="E23" i="1" a="1"/>
  <c r="E24" i="1" a="1"/>
  <c r="E25" i="1" a="1"/>
  <c r="E26" i="1" a="1"/>
  <c r="E27" i="1" a="1"/>
  <c r="E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<sst xmlns="http://schemas.openxmlformats.org/spreadsheetml/2006/main" count="225" uniqueCount="52">
  <si>
    <t>Intermediate Exercise 01</t>
  </si>
  <si>
    <t>Athlete Name</t>
  </si>
  <si>
    <t>Country</t>
  </si>
  <si>
    <t>Gender</t>
  </si>
  <si>
    <t xml:space="preserve">Medal </t>
  </si>
  <si>
    <t>Prize Money</t>
  </si>
  <si>
    <t>Leon Kenedy</t>
  </si>
  <si>
    <t>Deborah Ashby</t>
  </si>
  <si>
    <t>Adam Lacey</t>
  </si>
  <si>
    <t>Ben Lee</t>
  </si>
  <si>
    <t>Sarah Jones</t>
  </si>
  <si>
    <t>Olivia Green</t>
  </si>
  <si>
    <t>Ming Sia</t>
  </si>
  <si>
    <t>David Patterson</t>
  </si>
  <si>
    <t>Chloe Newbury</t>
  </si>
  <si>
    <t>Mrtin Waters</t>
  </si>
  <si>
    <t>Julie Tavistock</t>
  </si>
  <si>
    <t>Kurt Webster</t>
  </si>
  <si>
    <t>Lucy Matthews</t>
  </si>
  <si>
    <t>Patric Barker</t>
  </si>
  <si>
    <t>Terry Abbott</t>
  </si>
  <si>
    <t>Jorge Waters</t>
  </si>
  <si>
    <t>Ada Wang</t>
  </si>
  <si>
    <t>Ashley Grahm</t>
  </si>
  <si>
    <t>Pedro Costa</t>
  </si>
  <si>
    <t>Tina Ray</t>
  </si>
  <si>
    <t>Abel Ballard</t>
  </si>
  <si>
    <t>Gretchen Williams</t>
  </si>
  <si>
    <t>USA</t>
  </si>
  <si>
    <t>Canada</t>
  </si>
  <si>
    <t>UK</t>
  </si>
  <si>
    <t>Uk</t>
  </si>
  <si>
    <t>Sount Africa</t>
  </si>
  <si>
    <t>Australia</t>
  </si>
  <si>
    <t>Jordan Rodgers</t>
  </si>
  <si>
    <t>Tomas Barnett</t>
  </si>
  <si>
    <t>F</t>
  </si>
  <si>
    <t>M</t>
  </si>
  <si>
    <t>Bronze</t>
  </si>
  <si>
    <t>Gold</t>
  </si>
  <si>
    <t>Silver</t>
  </si>
  <si>
    <t>Medal</t>
  </si>
  <si>
    <r>
      <t xml:space="preserve">Using </t>
    </r>
    <r>
      <rPr>
        <b/>
        <sz val="11"/>
        <color theme="0"/>
        <rFont val="Calibri"/>
        <family val="2"/>
        <scheme val="minor"/>
      </rPr>
      <t xml:space="preserve">Nested Ifs </t>
    </r>
    <r>
      <rPr>
        <sz val="11"/>
        <color theme="0"/>
        <rFont val="Calibri"/>
        <family val="2"/>
        <scheme val="minor"/>
      </rPr>
      <t xml:space="preserve">or </t>
    </r>
    <r>
      <rPr>
        <b/>
        <sz val="11"/>
        <color theme="0"/>
        <rFont val="Calibri"/>
        <family val="2"/>
        <scheme val="minor"/>
      </rPr>
      <t>IFS</t>
    </r>
    <r>
      <rPr>
        <sz val="11"/>
        <color theme="0"/>
        <rFont val="Calibri"/>
        <family val="2"/>
        <scheme val="minor"/>
      </rPr>
      <t>, complete the 'Prize Money' field
in the table.</t>
    </r>
  </si>
  <si>
    <t>Intermediate Exercise 01 - Logical Functions</t>
  </si>
  <si>
    <t xml:space="preserve">Criteria </t>
  </si>
  <si>
    <t>Result</t>
  </si>
  <si>
    <t>Number of Athletes from the USA</t>
  </si>
  <si>
    <t>Number of Athletes from Australia and Female</t>
  </si>
  <si>
    <t>Number of Athletes from the UK, Male, Silver</t>
  </si>
  <si>
    <t>Total Prize Money for USA</t>
  </si>
  <si>
    <t>Total Prize Money for all Female, Canadian Athletes</t>
  </si>
  <si>
    <t>Total Prize Money for North America (USA, Canda)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</si>
</sst>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9">
    <xf numFmtId="0" fontId="0" fillId="0" borderId="0" xfId="0"/>
    <xf numFmtId="0" fontId="1" fillId="0" borderId="1" xfId="1" applyAlignment="1">
      <alignment horizontal="left" vertical="center"/>
    </xf>
    <xf numFmtId="0" fontId="3" fillId="3" borderId="0" xfId="0" applyFont="1" applyFill="1"/>
    <xf numFmtId="0" fontId="3" fillId="3" borderId="3" xfId="0" applyFont="1" applyFill="1" applyBorder="1"/>
    <xf numFmtId="0" fontId="0" fillId="0" borderId="3" xfId="0" applyBorder="1"/>
    <xf numFmtId="0" fontId="4" fillId="4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top"/>
    </xf>
    <xf numFmtId="0" fontId="2" fillId="2" borderId="2" xfId="2"/>
    <xf numFmtId="44" fontId="2" fillId="2" borderId="2" xfId="2" applyNumberFormat="1"/>
  </cellXfs>
  <cellStyles count="3">
    <cellStyle name="Calculation" xfId="2" builtinId="22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7</xdr:row>
      <xdr:rowOff>114300</xdr:rowOff>
    </xdr:from>
    <xdr:to>
      <xdr:col>10</xdr:col>
      <xdr:colOff>419100</xdr:colOff>
      <xdr:row>10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115C3E-1155-5C35-2FE3-B4469718C656}"/>
            </a:ext>
          </a:extLst>
        </xdr:cNvPr>
        <xdr:cNvSpPr txBox="1"/>
      </xdr:nvSpPr>
      <xdr:spPr>
        <a:xfrm>
          <a:off x="9915525" y="1647825"/>
          <a:ext cx="1628775" cy="523875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Complete</a:t>
          </a:r>
          <a:r>
            <a:rPr lang="en-US" sz="1100" baseline="0">
              <a:solidFill>
                <a:schemeClr val="bg1"/>
              </a:solidFill>
            </a:rPr>
            <a:t> the results column using the criteria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342900</xdr:colOff>
      <xdr:row>13</xdr:row>
      <xdr:rowOff>85725</xdr:rowOff>
    </xdr:from>
    <xdr:to>
      <xdr:col>10</xdr:col>
      <xdr:colOff>457200</xdr:colOff>
      <xdr:row>16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A82CDA-DBD2-434B-BAC3-41D2FD8B1520}"/>
            </a:ext>
          </a:extLst>
        </xdr:cNvPr>
        <xdr:cNvSpPr txBox="1"/>
      </xdr:nvSpPr>
      <xdr:spPr>
        <a:xfrm>
          <a:off x="9953625" y="2762250"/>
          <a:ext cx="1628775" cy="523875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Complete</a:t>
          </a:r>
          <a:r>
            <a:rPr lang="en-US" sz="1100" baseline="0">
              <a:solidFill>
                <a:schemeClr val="bg1"/>
              </a:solidFill>
            </a:rPr>
            <a:t> the results column using the criteria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285750</xdr:colOff>
      <xdr:row>2</xdr:row>
      <xdr:rowOff>85725</xdr:rowOff>
    </xdr:from>
    <xdr:to>
      <xdr:col>11</xdr:col>
      <xdr:colOff>171450</xdr:colOff>
      <xdr:row>4</xdr:row>
      <xdr:rowOff>180975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9585CE-6C30-1810-495E-0451E31C3A3B}"/>
            </a:ext>
          </a:extLst>
        </xdr:cNvPr>
        <xdr:cNvSpPr txBox="1"/>
      </xdr:nvSpPr>
      <xdr:spPr>
        <a:xfrm>
          <a:off x="9896475" y="666750"/>
          <a:ext cx="2009775" cy="47625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Using </a:t>
          </a:r>
          <a:r>
            <a:rPr lang="en-US" sz="1100" b="1">
              <a:solidFill>
                <a:schemeClr val="bg1"/>
              </a:solidFill>
            </a:rPr>
            <a:t>Nested</a:t>
          </a:r>
          <a:r>
            <a:rPr lang="en-US" sz="1100" b="1" baseline="0">
              <a:solidFill>
                <a:schemeClr val="bg1"/>
              </a:solidFill>
            </a:rPr>
            <a:t> IF </a:t>
          </a:r>
          <a:r>
            <a:rPr lang="en-US" sz="1100" baseline="0">
              <a:solidFill>
                <a:schemeClr val="bg1"/>
              </a:solidFill>
            </a:rPr>
            <a:t>or </a:t>
          </a:r>
          <a:r>
            <a:rPr lang="en-US" sz="1100" b="1" baseline="0">
              <a:solidFill>
                <a:schemeClr val="bg1"/>
              </a:solidFill>
            </a:rPr>
            <a:t>IFS</a:t>
          </a:r>
          <a:r>
            <a:rPr lang="en-US" sz="1100" baseline="0">
              <a:solidFill>
                <a:schemeClr val="bg1"/>
              </a:solidFill>
            </a:rPr>
            <a:t> complete the prize money.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238124</xdr:colOff>
      <xdr:row>18</xdr:row>
      <xdr:rowOff>104775</xdr:rowOff>
    </xdr:from>
    <xdr:to>
      <xdr:col>8</xdr:col>
      <xdr:colOff>114300</xdr:colOff>
      <xdr:row>22</xdr:row>
      <xdr:rowOff>28575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00ED26E-717D-8AD5-B0B7-37D5AC24EDDA}"/>
            </a:ext>
          </a:extLst>
        </xdr:cNvPr>
        <xdr:cNvSpPr txBox="1"/>
      </xdr:nvSpPr>
      <xdr:spPr>
        <a:xfrm>
          <a:off x="5705474" y="3733800"/>
          <a:ext cx="4019551" cy="685800"/>
        </a:xfrm>
        <a:prstGeom prst="rect">
          <a:avLst/>
        </a:prstGeom>
        <a:solidFill>
          <a:srgbClr val="C0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</a:rPr>
            <a:t>=SUMIF(B4:B27,"USA",E4:E27)+SUMIF(B4:B27,"Canada",E4:E27)</a:t>
          </a:r>
        </a:p>
        <a:p>
          <a:endParaRPr lang="en-US" sz="1100" b="1">
            <a:solidFill>
              <a:schemeClr val="bg1"/>
            </a:solidFill>
          </a:endParaRPr>
        </a:p>
        <a:p>
          <a:r>
            <a:rPr lang="en-US" sz="1100" b="1">
              <a:solidFill>
                <a:schemeClr val="bg1"/>
              </a:solidFill>
            </a:rPr>
            <a:t>*You</a:t>
          </a:r>
          <a:r>
            <a:rPr lang="en-US" sz="1100" b="1" baseline="0">
              <a:solidFill>
                <a:schemeClr val="bg1"/>
              </a:solidFill>
            </a:rPr>
            <a:t> can add the result of multiple formulas.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104775</xdr:colOff>
      <xdr:row>16</xdr:row>
      <xdr:rowOff>152400</xdr:rowOff>
    </xdr:from>
    <xdr:to>
      <xdr:col>7</xdr:col>
      <xdr:colOff>266700</xdr:colOff>
      <xdr:row>18</xdr:row>
      <xdr:rowOff>161925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9045325-AC04-22D1-F9C3-F5AFD1B28E48}"/>
            </a:ext>
          </a:extLst>
        </xdr:cNvPr>
        <xdr:cNvCxnSpPr/>
      </xdr:nvCxnSpPr>
      <xdr:spPr>
        <a:xfrm flipV="1">
          <a:off x="8763000" y="3400425"/>
          <a:ext cx="161925" cy="390525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2143125</xdr:colOff>
      <xdr:row>19</xdr:row>
      <xdr:rowOff>133350</xdr:rowOff>
    </xdr:from>
    <xdr:to>
      <xdr:col>6</xdr:col>
      <xdr:colOff>2152650</xdr:colOff>
      <xdr:row>20</xdr:row>
      <xdr:rowOff>114300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6784844C-102F-485D-ACD5-104D9CB8B39E}"/>
            </a:ext>
          </a:extLst>
        </xdr:cNvPr>
        <xdr:cNvCxnSpPr/>
      </xdr:nvCxnSpPr>
      <xdr:spPr>
        <a:xfrm flipH="1" flipV="1">
          <a:off x="7610475" y="3952875"/>
          <a:ext cx="9525" cy="171450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workbookViewId="0">
      <selection activeCell="F11" sqref="F11"/>
    </sheetView>
  </sheetViews>
  <sheetFormatPr defaultRowHeight="15" x14ac:dyDescent="0.25"/>
  <cols>
    <col min="1" max="1" width="23" customWidth="1"/>
    <col min="2" max="2" width="15.85546875" customWidth="1"/>
    <col min="3" max="3" width="12.28515625" customWidth="1"/>
    <col min="4" max="5" width="13.7109375" customWidth="1"/>
    <col min="6" max="6" width="18.5703125" customWidth="1"/>
    <col min="7" max="8" width="16.42578125" customWidth="1"/>
    <col min="9" max="9" width="16.5703125" customWidth="1"/>
  </cols>
  <sheetData>
    <row r="1" spans="1:9" s="1" customFormat="1" ht="30" customHeight="1" thickBot="1" x14ac:dyDescent="0.3">
      <c r="A1" s="1" t="s">
        <v>0</v>
      </c>
    </row>
    <row r="2" spans="1:9" ht="15.75" thickTop="1" x14ac:dyDescent="0.25"/>
    <row r="3" spans="1: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G3" s="3" t="s">
        <v>41</v>
      </c>
      <c r="H3" s="3" t="s">
        <v>5</v>
      </c>
    </row>
    <row r="4" spans="1:9" x14ac:dyDescent="0.25">
      <c r="A4" t="s">
        <v>6</v>
      </c>
      <c r="B4" t="s">
        <v>28</v>
      </c>
      <c r="C4" t="s">
        <v>36</v>
      </c>
      <c r="D4" t="s">
        <v>38</v>
      </c>
      <c r="E4" s="7" cm="1">
        <f t="array" ref="E4">IFERROR(_xlfn.IFS(D4=$G$4,$H$4, D4=$G$5,$H$5,D4=$G$6,$H$6), "Medal Not Found")</f>
        <v>100</v>
      </c>
      <c r="G4" s="4" t="s">
        <v>38</v>
      </c>
      <c r="H4" s="4">
        <v>100</v>
      </c>
    </row>
    <row r="5" spans="1:9" x14ac:dyDescent="0.25">
      <c r="A5" t="s">
        <v>7</v>
      </c>
      <c r="B5" t="s">
        <v>28</v>
      </c>
      <c r="C5" t="s">
        <v>37</v>
      </c>
      <c r="D5" t="s">
        <v>39</v>
      </c>
      <c r="E5" s="7" cm="1">
        <f t="array" ref="E5">IFERROR(_xlfn.IFS(D5=$G$4,$H$4, D5=$G$5,$H$5,D5=$G$6,$H$6), "Medal Not Found")</f>
        <v>500</v>
      </c>
      <c r="G5" s="4" t="s">
        <v>40</v>
      </c>
      <c r="H5" s="4">
        <v>250</v>
      </c>
    </row>
    <row r="6" spans="1:9" x14ac:dyDescent="0.25">
      <c r="A6" t="s">
        <v>8</v>
      </c>
      <c r="B6" t="s">
        <v>29</v>
      </c>
      <c r="C6" t="s">
        <v>37</v>
      </c>
      <c r="D6" t="s">
        <v>39</v>
      </c>
      <c r="E6" s="7" cm="1">
        <f t="array" ref="E6">IFERROR(_xlfn.IFS(D6=$G$4,$H$4, D6=$G$5,$H$5,D6=$G$6,$H$6), "Medal Not Found")</f>
        <v>500</v>
      </c>
      <c r="G6" s="4" t="s">
        <v>39</v>
      </c>
      <c r="H6" s="4">
        <v>500</v>
      </c>
    </row>
    <row r="7" spans="1:9" x14ac:dyDescent="0.25">
      <c r="A7" t="s">
        <v>9</v>
      </c>
      <c r="B7" t="s">
        <v>28</v>
      </c>
      <c r="C7" t="s">
        <v>37</v>
      </c>
      <c r="D7" t="s">
        <v>40</v>
      </c>
      <c r="E7" s="7" cm="1">
        <f t="array" ref="E7">IFERROR(_xlfn.IFS(D7=$G$4,$H$4, D7=$G$5,$H$5,D7=$G$6,$H$6), "Medal Not Found")</f>
        <v>250</v>
      </c>
    </row>
    <row r="8" spans="1:9" x14ac:dyDescent="0.25">
      <c r="A8" t="s">
        <v>10</v>
      </c>
      <c r="B8" t="s">
        <v>30</v>
      </c>
      <c r="C8" t="s">
        <v>37</v>
      </c>
      <c r="D8" t="s">
        <v>40</v>
      </c>
      <c r="E8" s="7" cm="1">
        <f t="array" ref="E8">IFERROR(_xlfn.IFS(D8=$G$4,$H$4, D8=$G$5,$H$5,D8=$G$6,$H$6), "Medal Not Found")</f>
        <v>250</v>
      </c>
    </row>
    <row r="9" spans="1:9" x14ac:dyDescent="0.25">
      <c r="A9" t="s">
        <v>11</v>
      </c>
      <c r="B9" t="s">
        <v>31</v>
      </c>
      <c r="C9" t="s">
        <v>37</v>
      </c>
      <c r="D9" t="s">
        <v>38</v>
      </c>
      <c r="E9" s="7" cm="1">
        <f t="array" ref="E9">IFERROR(_xlfn.IFS(D9=$G$4,$H$4, D9=$G$5,$H$5,D9=$G$6,$H$6), "Medal Not Found")</f>
        <v>100</v>
      </c>
    </row>
    <row r="10" spans="1:9" x14ac:dyDescent="0.25">
      <c r="A10" t="s">
        <v>12</v>
      </c>
      <c r="B10" t="s">
        <v>32</v>
      </c>
      <c r="C10" t="s">
        <v>37</v>
      </c>
      <c r="D10" t="s">
        <v>38</v>
      </c>
      <c r="E10" s="7" cm="1">
        <f t="array" ref="E10">IFERROR(_xlfn.IFS(D10=$G$4,$H$4, D10=$G$5,$H$5,D10=$G$6,$H$6), "Medal Not Found")</f>
        <v>100</v>
      </c>
      <c r="G10" s="5" t="s">
        <v>42</v>
      </c>
      <c r="H10" s="6"/>
      <c r="I10" s="6"/>
    </row>
    <row r="11" spans="1:9" x14ac:dyDescent="0.25">
      <c r="A11" t="s">
        <v>13</v>
      </c>
      <c r="B11" t="s">
        <v>33</v>
      </c>
      <c r="C11" t="s">
        <v>36</v>
      </c>
      <c r="D11" t="s">
        <v>39</v>
      </c>
      <c r="E11" s="7" cm="1">
        <f t="array" ref="E11">IFERROR(_xlfn.IFS(D11=$G$4,$H$4, D11=$G$5,$H$5,D11=$G$6,$H$6), "Medal Not Found")</f>
        <v>500</v>
      </c>
      <c r="G11" s="6"/>
      <c r="H11" s="6"/>
      <c r="I11" s="6"/>
    </row>
    <row r="12" spans="1:9" x14ac:dyDescent="0.25">
      <c r="A12" t="s">
        <v>14</v>
      </c>
      <c r="B12" t="s">
        <v>33</v>
      </c>
      <c r="C12" t="s">
        <v>37</v>
      </c>
      <c r="D12" t="s">
        <v>40</v>
      </c>
      <c r="E12" s="7" cm="1">
        <f t="array" ref="E12">IFERROR(_xlfn.IFS(D12=$G$4,$H$4, D12=$G$5,$H$5,D12=$G$6,$H$6), "Medal Not Found")</f>
        <v>250</v>
      </c>
    </row>
    <row r="13" spans="1:9" x14ac:dyDescent="0.25">
      <c r="A13" t="s">
        <v>15</v>
      </c>
      <c r="B13" t="s">
        <v>33</v>
      </c>
      <c r="C13" t="s">
        <v>36</v>
      </c>
      <c r="D13" t="s">
        <v>39</v>
      </c>
      <c r="E13" s="7" cm="1">
        <f t="array" ref="E13">IFERROR(_xlfn.IFS(D13=$G$4,$H$4, D13=$G$5,$H$5,D13=$G$6,$H$6), "Medal Not Found")</f>
        <v>500</v>
      </c>
    </row>
    <row r="14" spans="1:9" x14ac:dyDescent="0.25">
      <c r="A14" t="s">
        <v>16</v>
      </c>
      <c r="B14" t="s">
        <v>28</v>
      </c>
      <c r="C14" t="s">
        <v>37</v>
      </c>
      <c r="D14" t="s">
        <v>38</v>
      </c>
      <c r="E14" s="7" cm="1">
        <f t="array" ref="E14">IFERROR(_xlfn.IFS(D14=$G$4,$H$4, D14=$G$5,$H$5,D14=$G$6,$H$6), "Medal Not Found")</f>
        <v>100</v>
      </c>
    </row>
    <row r="15" spans="1:9" x14ac:dyDescent="0.25">
      <c r="A15" t="s">
        <v>17</v>
      </c>
      <c r="B15" t="s">
        <v>30</v>
      </c>
      <c r="C15" t="s">
        <v>36</v>
      </c>
      <c r="D15" t="s">
        <v>38</v>
      </c>
      <c r="E15" s="7" cm="1">
        <f t="array" ref="E15">IFERROR(_xlfn.IFS(D15=$G$4,$H$4, D15=$G$5,$H$5,D15=$G$6,$H$6), "Medal Not Found")</f>
        <v>100</v>
      </c>
    </row>
    <row r="16" spans="1:9" x14ac:dyDescent="0.25">
      <c r="A16" t="s">
        <v>18</v>
      </c>
      <c r="B16" t="s">
        <v>29</v>
      </c>
      <c r="C16" t="s">
        <v>37</v>
      </c>
      <c r="D16" t="s">
        <v>39</v>
      </c>
      <c r="E16" s="7" cm="1">
        <f t="array" ref="E16">IFERROR(_xlfn.IFS(D16=$G$4,$H$4, D16=$G$5,$H$5,D16=$G$6,$H$6), "Medal Not Found")</f>
        <v>500</v>
      </c>
    </row>
    <row r="17" spans="1:5" x14ac:dyDescent="0.25">
      <c r="A17" t="s">
        <v>19</v>
      </c>
      <c r="B17" t="s">
        <v>32</v>
      </c>
      <c r="C17" t="s">
        <v>36</v>
      </c>
      <c r="D17" t="s">
        <v>39</v>
      </c>
      <c r="E17" s="7" cm="1">
        <f t="array" ref="E17">IFERROR(_xlfn.IFS(D17=$G$4,$H$4, D17=$G$5,$H$5,D17=$G$6,$H$6), "Medal Not Found")</f>
        <v>500</v>
      </c>
    </row>
    <row r="18" spans="1:5" x14ac:dyDescent="0.25">
      <c r="A18" t="s">
        <v>20</v>
      </c>
      <c r="B18" t="s">
        <v>32</v>
      </c>
      <c r="C18" t="s">
        <v>37</v>
      </c>
      <c r="D18" t="s">
        <v>40</v>
      </c>
      <c r="E18" s="7" cm="1">
        <f t="array" ref="E18">IFERROR(_xlfn.IFS(D18=$G$4,$H$4, D18=$G$5,$H$5,D18=$G$6,$H$6), "Medal Not Found")</f>
        <v>250</v>
      </c>
    </row>
    <row r="19" spans="1:5" x14ac:dyDescent="0.25">
      <c r="A19" t="s">
        <v>21</v>
      </c>
      <c r="B19" t="s">
        <v>30</v>
      </c>
      <c r="C19" t="s">
        <v>37</v>
      </c>
      <c r="D19" t="s">
        <v>38</v>
      </c>
      <c r="E19" s="7" cm="1">
        <f t="array" ref="E19">IFERROR(_xlfn.IFS(D19=$G$4,$H$4, D19=$G$5,$H$5,D19=$G$6,$H$6), "Medal Not Found")</f>
        <v>100</v>
      </c>
    </row>
    <row r="20" spans="1:5" x14ac:dyDescent="0.25">
      <c r="A20" t="s">
        <v>22</v>
      </c>
      <c r="B20" t="s">
        <v>33</v>
      </c>
      <c r="C20" t="s">
        <v>37</v>
      </c>
      <c r="D20" t="s">
        <v>39</v>
      </c>
      <c r="E20" s="7" cm="1">
        <f t="array" ref="E20">IFERROR(_xlfn.IFS(D20=$G$4,$H$4, D20=$G$5,$H$5,D20=$G$6,$H$6), "Medal Not Found")</f>
        <v>500</v>
      </c>
    </row>
    <row r="21" spans="1:5" x14ac:dyDescent="0.25">
      <c r="A21" t="s">
        <v>23</v>
      </c>
      <c r="B21" t="s">
        <v>29</v>
      </c>
      <c r="C21" t="s">
        <v>37</v>
      </c>
      <c r="D21" t="s">
        <v>39</v>
      </c>
      <c r="E21" s="7" cm="1">
        <f t="array" ref="E21">IFERROR(_xlfn.IFS(D21=$G$4,$H$4, D21=$G$5,$H$5,D21=$G$6,$H$6), "Medal Not Found")</f>
        <v>500</v>
      </c>
    </row>
    <row r="22" spans="1:5" x14ac:dyDescent="0.25">
      <c r="A22" t="s">
        <v>24</v>
      </c>
      <c r="B22" t="s">
        <v>28</v>
      </c>
      <c r="C22" t="s">
        <v>36</v>
      </c>
      <c r="D22" t="s">
        <v>38</v>
      </c>
      <c r="E22" s="7" cm="1">
        <f t="array" ref="E22">IFERROR(_xlfn.IFS(D22=$G$4,$H$4, D22=$G$5,$H$5,D22=$G$6,$H$6), "Medal Not Found")</f>
        <v>100</v>
      </c>
    </row>
    <row r="23" spans="1:5" x14ac:dyDescent="0.25">
      <c r="A23" t="s">
        <v>25</v>
      </c>
      <c r="B23" t="s">
        <v>28</v>
      </c>
      <c r="C23" t="s">
        <v>37</v>
      </c>
      <c r="D23" t="s">
        <v>39</v>
      </c>
      <c r="E23" s="7" cm="1">
        <f t="array" ref="E23">IFERROR(_xlfn.IFS(D23=$G$4,$H$4, D23=$G$5,$H$5,D23=$G$6,$H$6), "Medal Not Found")</f>
        <v>500</v>
      </c>
    </row>
    <row r="24" spans="1:5" x14ac:dyDescent="0.25">
      <c r="A24" t="s">
        <v>26</v>
      </c>
      <c r="B24" t="s">
        <v>29</v>
      </c>
      <c r="C24" t="s">
        <v>36</v>
      </c>
      <c r="D24" t="s">
        <v>38</v>
      </c>
      <c r="E24" s="7" cm="1">
        <f t="array" ref="E24">IFERROR(_xlfn.IFS(D24=$G$4,$H$4, D24=$G$5,$H$5,D24=$G$6,$H$6), "Medal Not Found")</f>
        <v>100</v>
      </c>
    </row>
    <row r="25" spans="1:5" x14ac:dyDescent="0.25">
      <c r="A25" t="s">
        <v>27</v>
      </c>
      <c r="B25" t="s">
        <v>32</v>
      </c>
      <c r="C25" t="s">
        <v>37</v>
      </c>
      <c r="D25" t="s">
        <v>39</v>
      </c>
      <c r="E25" s="7" cm="1">
        <f t="array" ref="E25">IFERROR(_xlfn.IFS(D25=$G$4,$H$4, D25=$G$5,$H$5,D25=$G$6,$H$6), "Medal Not Found")</f>
        <v>500</v>
      </c>
    </row>
    <row r="26" spans="1:5" x14ac:dyDescent="0.25">
      <c r="A26" t="s">
        <v>34</v>
      </c>
      <c r="B26" t="s">
        <v>30</v>
      </c>
      <c r="C26" t="s">
        <v>36</v>
      </c>
      <c r="D26" t="s">
        <v>40</v>
      </c>
      <c r="E26" s="7" cm="1">
        <f t="array" ref="E26">IFERROR(_xlfn.IFS(D26=$G$4,$H$4, D26=$G$5,$H$5,D26=$G$6,$H$6), "Medal Not Found")</f>
        <v>250</v>
      </c>
    </row>
    <row r="27" spans="1:5" x14ac:dyDescent="0.25">
      <c r="A27" t="s">
        <v>35</v>
      </c>
      <c r="B27" t="s">
        <v>33</v>
      </c>
      <c r="C27" t="s">
        <v>37</v>
      </c>
      <c r="D27" t="s">
        <v>39</v>
      </c>
      <c r="E27" s="7" cm="1">
        <f t="array" ref="E27">IFERROR(_xlfn.IFS(D27=$G$4,$H$4, D27=$G$5,$H$5,D27=$G$6,$H$6), "Medal Not Found")</f>
        <v>500</v>
      </c>
    </row>
  </sheetData>
  <mergeCells count="2">
    <mergeCell ref="A1:XFD1"/>
    <mergeCell ref="G10:I1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296CB-AF75-44D8-9929-A0092BDDDFEC}">
  <dimension ref="A1:H27"/>
  <sheetViews>
    <sheetView tabSelected="1" topLeftCell="A9" workbookViewId="0">
      <selection activeCell="J24" sqref="J24"/>
    </sheetView>
  </sheetViews>
  <sheetFormatPr defaultRowHeight="15" x14ac:dyDescent="0.25"/>
  <cols>
    <col min="1" max="1" width="20.140625" customWidth="1"/>
    <col min="2" max="2" width="13.7109375" customWidth="1"/>
    <col min="3" max="3" width="10.7109375" customWidth="1"/>
    <col min="4" max="4" width="14" customWidth="1"/>
    <col min="5" max="5" width="14.28515625" customWidth="1"/>
    <col min="7" max="7" width="47.85546875" bestFit="1" customWidth="1"/>
    <col min="8" max="8" width="14.28515625" customWidth="1"/>
    <col min="9" max="9" width="13.5703125" customWidth="1"/>
  </cols>
  <sheetData>
    <row r="1" spans="1:8" s="1" customFormat="1" ht="30" customHeight="1" thickBot="1" x14ac:dyDescent="0.3">
      <c r="A1" s="1" t="s">
        <v>43</v>
      </c>
    </row>
    <row r="2" spans="1:8" ht="15.75" thickTop="1" x14ac:dyDescent="0.25"/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G3" s="3" t="s">
        <v>41</v>
      </c>
      <c r="H3" s="3" t="s">
        <v>5</v>
      </c>
    </row>
    <row r="4" spans="1:8" x14ac:dyDescent="0.25">
      <c r="A4" t="s">
        <v>6</v>
      </c>
      <c r="B4" t="s">
        <v>28</v>
      </c>
      <c r="C4" t="s">
        <v>36</v>
      </c>
      <c r="D4" t="s">
        <v>38</v>
      </c>
      <c r="E4" s="7" cm="1">
        <f t="array" ref="E4">IFERROR(_xlfn.IFS(D4=$G$4,$H$4, D4=$G$5,$H$5,D4=$G$6,$H$6), "Medal Not Found")</f>
        <v>100</v>
      </c>
      <c r="G4" s="4" t="s">
        <v>38</v>
      </c>
      <c r="H4" s="4">
        <v>100</v>
      </c>
    </row>
    <row r="5" spans="1:8" x14ac:dyDescent="0.25">
      <c r="A5" t="s">
        <v>7</v>
      </c>
      <c r="B5" t="s">
        <v>28</v>
      </c>
      <c r="C5" t="s">
        <v>37</v>
      </c>
      <c r="D5" t="s">
        <v>39</v>
      </c>
      <c r="E5" s="7" cm="1">
        <f t="array" ref="E5">IFERROR(_xlfn.IFS(D5=$G$4,$H$4, D5=$G$5,$H$5,D5=$G$6,$H$6), "Medal Not Found")</f>
        <v>500</v>
      </c>
      <c r="G5" s="4" t="s">
        <v>40</v>
      </c>
      <c r="H5" s="4">
        <v>250</v>
      </c>
    </row>
    <row r="6" spans="1:8" x14ac:dyDescent="0.25">
      <c r="A6" t="s">
        <v>8</v>
      </c>
      <c r="B6" t="s">
        <v>29</v>
      </c>
      <c r="C6" t="s">
        <v>37</v>
      </c>
      <c r="D6" t="s">
        <v>39</v>
      </c>
      <c r="E6" s="7" cm="1">
        <f t="array" ref="E6">IFERROR(_xlfn.IFS(D6=$G$4,$H$4, D6=$G$5,$H$5,D6=$G$6,$H$6), "Medal Not Found")</f>
        <v>500</v>
      </c>
      <c r="G6" s="4" t="s">
        <v>39</v>
      </c>
      <c r="H6" s="4">
        <v>500</v>
      </c>
    </row>
    <row r="7" spans="1:8" x14ac:dyDescent="0.25">
      <c r="A7" t="s">
        <v>9</v>
      </c>
      <c r="B7" t="s">
        <v>28</v>
      </c>
      <c r="C7" t="s">
        <v>37</v>
      </c>
      <c r="D7" t="s">
        <v>40</v>
      </c>
      <c r="E7" s="7" cm="1">
        <f t="array" ref="E7">IFERROR(_xlfn.IFS(D7=$G$4,$H$4, D7=$G$5,$H$5,D7=$G$6,$H$6), "Medal Not Found")</f>
        <v>250</v>
      </c>
    </row>
    <row r="8" spans="1:8" x14ac:dyDescent="0.25">
      <c r="A8" t="s">
        <v>10</v>
      </c>
      <c r="B8" t="s">
        <v>30</v>
      </c>
      <c r="C8" t="s">
        <v>37</v>
      </c>
      <c r="D8" t="s">
        <v>40</v>
      </c>
      <c r="E8" s="7" cm="1">
        <f t="array" ref="E8">IFERROR(_xlfn.IFS(D8=$G$4,$H$4, D8=$G$5,$H$5,D8=$G$6,$H$6), "Medal Not Found")</f>
        <v>250</v>
      </c>
      <c r="G8" s="3" t="s">
        <v>44</v>
      </c>
      <c r="H8" s="3" t="s">
        <v>45</v>
      </c>
    </row>
    <row r="9" spans="1:8" x14ac:dyDescent="0.25">
      <c r="A9" t="s">
        <v>11</v>
      </c>
      <c r="B9" t="s">
        <v>31</v>
      </c>
      <c r="C9" t="s">
        <v>37</v>
      </c>
      <c r="D9" t="s">
        <v>38</v>
      </c>
      <c r="E9" s="7" cm="1">
        <f t="array" ref="E9">IFERROR(_xlfn.IFS(D9=$G$4,$H$4, D9=$G$5,$H$5,D9=$G$6,$H$6), "Medal Not Found")</f>
        <v>100</v>
      </c>
      <c r="G9" s="4" t="s">
        <v>46</v>
      </c>
      <c r="H9" s="7">
        <f>COUNTIF(B4:B27,"USA")</f>
        <v>6</v>
      </c>
    </row>
    <row r="10" spans="1:8" x14ac:dyDescent="0.25">
      <c r="A10" t="s">
        <v>12</v>
      </c>
      <c r="B10" t="s">
        <v>32</v>
      </c>
      <c r="C10" t="s">
        <v>37</v>
      </c>
      <c r="D10" t="s">
        <v>38</v>
      </c>
      <c r="E10" s="7" cm="1">
        <f t="array" ref="E10">IFERROR(_xlfn.IFS(D10=$G$4,$H$4, D10=$G$5,$H$5,D10=$G$6,$H$6), "Medal Not Found")</f>
        <v>100</v>
      </c>
      <c r="G10" s="4" t="s">
        <v>47</v>
      </c>
      <c r="H10" s="7">
        <f>COUNTIFS(B4:B27,"Australia",C4:C27,"F")</f>
        <v>2</v>
      </c>
    </row>
    <row r="11" spans="1:8" x14ac:dyDescent="0.25">
      <c r="A11" t="s">
        <v>13</v>
      </c>
      <c r="B11" t="s">
        <v>33</v>
      </c>
      <c r="C11" t="s">
        <v>36</v>
      </c>
      <c r="D11" t="s">
        <v>39</v>
      </c>
      <c r="E11" s="7" cm="1">
        <f t="array" ref="E11">IFERROR(_xlfn.IFS(D11=$G$4,$H$4, D11=$G$5,$H$5,D11=$G$6,$H$6), "Medal Not Found")</f>
        <v>500</v>
      </c>
      <c r="G11" s="4" t="s">
        <v>48</v>
      </c>
      <c r="H11" s="7">
        <f>COUNTIFS(B4:B27,"UK",C4:C27,"M",D4:D27,"Silver")</f>
        <v>1</v>
      </c>
    </row>
    <row r="12" spans="1:8" x14ac:dyDescent="0.25">
      <c r="A12" t="s">
        <v>14</v>
      </c>
      <c r="B12" t="s">
        <v>33</v>
      </c>
      <c r="C12" t="s">
        <v>37</v>
      </c>
      <c r="D12" t="s">
        <v>40</v>
      </c>
      <c r="E12" s="7" cm="1">
        <f t="array" ref="E12">IFERROR(_xlfn.IFS(D12=$G$4,$H$4, D12=$G$5,$H$5,D12=$G$6,$H$6), "Medal Not Found")</f>
        <v>250</v>
      </c>
    </row>
    <row r="13" spans="1:8" x14ac:dyDescent="0.25">
      <c r="A13" t="s">
        <v>15</v>
      </c>
      <c r="B13" t="s">
        <v>33</v>
      </c>
      <c r="C13" t="s">
        <v>36</v>
      </c>
      <c r="D13" t="s">
        <v>39</v>
      </c>
      <c r="E13" s="7" cm="1">
        <f t="array" ref="E13">IFERROR(_xlfn.IFS(D13=$G$4,$H$4, D13=$G$5,$H$5,D13=$G$6,$H$6), "Medal Not Found")</f>
        <v>500</v>
      </c>
    </row>
    <row r="14" spans="1:8" x14ac:dyDescent="0.25">
      <c r="A14" t="s">
        <v>16</v>
      </c>
      <c r="B14" t="s">
        <v>28</v>
      </c>
      <c r="C14" t="s">
        <v>37</v>
      </c>
      <c r="D14" t="s">
        <v>38</v>
      </c>
      <c r="E14" s="7" cm="1">
        <f t="array" ref="E14">IFERROR(_xlfn.IFS(D14=$G$4,$H$4, D14=$G$5,$H$5,D14=$G$6,$H$6), "Medal Not Found")</f>
        <v>100</v>
      </c>
      <c r="G14" s="3" t="s">
        <v>44</v>
      </c>
      <c r="H14" s="3" t="s">
        <v>45</v>
      </c>
    </row>
    <row r="15" spans="1:8" x14ac:dyDescent="0.25">
      <c r="A15" t="s">
        <v>17</v>
      </c>
      <c r="B15" t="s">
        <v>30</v>
      </c>
      <c r="C15" t="s">
        <v>36</v>
      </c>
      <c r="D15" t="s">
        <v>38</v>
      </c>
      <c r="E15" s="7" cm="1">
        <f t="array" ref="E15">IFERROR(_xlfn.IFS(D15=$G$4,$H$4, D15=$G$5,$H$5,D15=$G$6,$H$6), "Medal Not Found")</f>
        <v>100</v>
      </c>
      <c r="G15" s="4" t="s">
        <v>49</v>
      </c>
      <c r="H15" s="8">
        <f>SUMIF(B4:B27,"USA",E4:E27)</f>
        <v>1550</v>
      </c>
    </row>
    <row r="16" spans="1:8" x14ac:dyDescent="0.25">
      <c r="A16" t="s">
        <v>18</v>
      </c>
      <c r="B16" t="s">
        <v>29</v>
      </c>
      <c r="C16" t="s">
        <v>37</v>
      </c>
      <c r="D16" t="s">
        <v>39</v>
      </c>
      <c r="E16" s="7" cm="1">
        <f t="array" ref="E16">IFERROR(_xlfn.IFS(D16=$G$4,$H$4, D16=$G$5,$H$5,D16=$G$6,$H$6), "Medal Not Found")</f>
        <v>500</v>
      </c>
      <c r="G16" s="4" t="s">
        <v>50</v>
      </c>
      <c r="H16" s="8">
        <f>SUMIFS(E4:E27,C4:C27,"F",B4:B27,"Canada")</f>
        <v>100</v>
      </c>
    </row>
    <row r="17" spans="1:8" x14ac:dyDescent="0.25">
      <c r="A17" t="s">
        <v>19</v>
      </c>
      <c r="B17" t="s">
        <v>32</v>
      </c>
      <c r="C17" t="s">
        <v>36</v>
      </c>
      <c r="D17" t="s">
        <v>39</v>
      </c>
      <c r="E17" s="7" cm="1">
        <f t="array" ref="E17">IFERROR(_xlfn.IFS(D17=$G$4,$H$4, D17=$G$5,$H$5,D17=$G$6,$H$6), "Medal Not Found")</f>
        <v>500</v>
      </c>
      <c r="G17" s="4" t="s">
        <v>51</v>
      </c>
      <c r="H17" s="8">
        <f>SUMIF(B4:B27,"USA",E4:E27)+SUMIF(B4:B27,"Canada",E4:E27)</f>
        <v>3150</v>
      </c>
    </row>
    <row r="18" spans="1:8" x14ac:dyDescent="0.25">
      <c r="A18" t="s">
        <v>20</v>
      </c>
      <c r="B18" t="s">
        <v>32</v>
      </c>
      <c r="C18" t="s">
        <v>37</v>
      </c>
      <c r="D18" t="s">
        <v>40</v>
      </c>
      <c r="E18" s="7" cm="1">
        <f t="array" ref="E18">IFERROR(_xlfn.IFS(D18=$G$4,$H$4, D18=$G$5,$H$5,D18=$G$6,$H$6), "Medal Not Found")</f>
        <v>250</v>
      </c>
    </row>
    <row r="19" spans="1:8" x14ac:dyDescent="0.25">
      <c r="A19" t="s">
        <v>21</v>
      </c>
      <c r="B19" t="s">
        <v>30</v>
      </c>
      <c r="C19" t="s">
        <v>37</v>
      </c>
      <c r="D19" t="s">
        <v>38</v>
      </c>
      <c r="E19" s="7" cm="1">
        <f t="array" ref="E19">IFERROR(_xlfn.IFS(D19=$G$4,$H$4, D19=$G$5,$H$5,D19=$G$6,$H$6), "Medal Not Found")</f>
        <v>100</v>
      </c>
    </row>
    <row r="20" spans="1:8" x14ac:dyDescent="0.25">
      <c r="A20" t="s">
        <v>22</v>
      </c>
      <c r="B20" t="s">
        <v>33</v>
      </c>
      <c r="C20" t="s">
        <v>37</v>
      </c>
      <c r="D20" t="s">
        <v>39</v>
      </c>
      <c r="E20" s="7" cm="1">
        <f t="array" ref="E20">IFERROR(_xlfn.IFS(D20=$G$4,$H$4, D20=$G$5,$H$5,D20=$G$6,$H$6), "Medal Not Found")</f>
        <v>500</v>
      </c>
    </row>
    <row r="21" spans="1:8" x14ac:dyDescent="0.25">
      <c r="A21" t="s">
        <v>23</v>
      </c>
      <c r="B21" t="s">
        <v>29</v>
      </c>
      <c r="C21" t="s">
        <v>37</v>
      </c>
      <c r="D21" t="s">
        <v>39</v>
      </c>
      <c r="E21" s="7" cm="1">
        <f t="array" ref="E21">IFERROR(_xlfn.IFS(D21=$G$4,$H$4, D21=$G$5,$H$5,D21=$G$6,$H$6), "Medal Not Found")</f>
        <v>500</v>
      </c>
    </row>
    <row r="22" spans="1:8" x14ac:dyDescent="0.25">
      <c r="A22" t="s">
        <v>24</v>
      </c>
      <c r="B22" t="s">
        <v>28</v>
      </c>
      <c r="C22" t="s">
        <v>36</v>
      </c>
      <c r="D22" t="s">
        <v>38</v>
      </c>
      <c r="E22" s="7" cm="1">
        <f t="array" ref="E22">IFERROR(_xlfn.IFS(D22=$G$4,$H$4, D22=$G$5,$H$5,D22=$G$6,$H$6), "Medal Not Found")</f>
        <v>100</v>
      </c>
    </row>
    <row r="23" spans="1:8" x14ac:dyDescent="0.25">
      <c r="A23" t="s">
        <v>25</v>
      </c>
      <c r="B23" t="s">
        <v>28</v>
      </c>
      <c r="C23" t="s">
        <v>37</v>
      </c>
      <c r="D23" t="s">
        <v>39</v>
      </c>
      <c r="E23" s="7" cm="1">
        <f t="array" ref="E23">IFERROR(_xlfn.IFS(D23=$G$4,$H$4, D23=$G$5,$H$5,D23=$G$6,$H$6), "Medal Not Found")</f>
        <v>500</v>
      </c>
    </row>
    <row r="24" spans="1:8" x14ac:dyDescent="0.25">
      <c r="A24" t="s">
        <v>26</v>
      </c>
      <c r="B24" t="s">
        <v>29</v>
      </c>
      <c r="C24" t="s">
        <v>36</v>
      </c>
      <c r="D24" t="s">
        <v>38</v>
      </c>
      <c r="E24" s="7" cm="1">
        <f t="array" ref="E24">IFERROR(_xlfn.IFS(D24=$G$4,$H$4, D24=$G$5,$H$5,D24=$G$6,$H$6), "Medal Not Found")</f>
        <v>100</v>
      </c>
    </row>
    <row r="25" spans="1:8" x14ac:dyDescent="0.25">
      <c r="A25" t="s">
        <v>27</v>
      </c>
      <c r="B25" t="s">
        <v>32</v>
      </c>
      <c r="C25" t="s">
        <v>37</v>
      </c>
      <c r="D25" t="s">
        <v>39</v>
      </c>
      <c r="E25" s="7" cm="1">
        <f t="array" ref="E25">IFERROR(_xlfn.IFS(D25=$G$4,$H$4, D25=$G$5,$H$5,D25=$G$6,$H$6), "Medal Not Found")</f>
        <v>500</v>
      </c>
    </row>
    <row r="26" spans="1:8" x14ac:dyDescent="0.25">
      <c r="A26" t="s">
        <v>34</v>
      </c>
      <c r="B26" t="s">
        <v>30</v>
      </c>
      <c r="C26" t="s">
        <v>36</v>
      </c>
      <c r="D26" t="s">
        <v>40</v>
      </c>
      <c r="E26" s="7" cm="1">
        <f t="array" ref="E26">IFERROR(_xlfn.IFS(D26=$G$4,$H$4, D26=$G$5,$H$5,D26=$G$6,$H$6), "Medal Not Found")</f>
        <v>250</v>
      </c>
    </row>
    <row r="27" spans="1:8" x14ac:dyDescent="0.25">
      <c r="A27" t="s">
        <v>35</v>
      </c>
      <c r="B27" t="s">
        <v>33</v>
      </c>
      <c r="C27" t="s">
        <v>37</v>
      </c>
      <c r="D27" t="s">
        <v>39</v>
      </c>
      <c r="E27" s="7" cm="1">
        <f t="array" ref="E27">IFERROR(_xlfn.IFS(D27=$G$4,$H$4, D27=$G$5,$H$5,D27=$G$6,$H$6), "Medal Not Found")</f>
        <v>500</v>
      </c>
    </row>
  </sheetData>
  <mergeCells count="1">
    <mergeCell ref="A1:XF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Exercise01</vt:lpstr>
      <vt:lpstr>Exercise02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2026-08-29T11:31:11Z</dcterms:modified>
</cp:coreProperties>
</file>