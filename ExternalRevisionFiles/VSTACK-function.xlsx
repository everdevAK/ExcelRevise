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Revise\ExternalRevisionFiles\"/>
    </mc:Choice>
  </mc:AlternateContent>
  <xr:revisionPtr revIDLastSave="0" documentId="13_ncr:1_{205578F8-DD20-49C6-B9E6-0CEFABE08A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STA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<sst xmlns="http://schemas.openxmlformats.org/spreadsheetml/2006/main" count="81" uniqueCount="31">
  <si>
    <t>Using VSTACK Function to Combine Data</t>
  </si>
  <si>
    <t>Data for South Region</t>
  </si>
  <si>
    <t>Region</t>
  </si>
  <si>
    <t>Data</t>
  </si>
  <si>
    <t>Customer</t>
  </si>
  <si>
    <t>Product</t>
  </si>
  <si>
    <t>Quantity</t>
  </si>
  <si>
    <t>Revenue</t>
  </si>
  <si>
    <t>South</t>
  </si>
  <si>
    <t>Madrigal Electromotive</t>
  </si>
  <si>
    <t>Los Pollos Hermanos</t>
  </si>
  <si>
    <t>Gray Matter Technologies</t>
  </si>
  <si>
    <t>A1A Car Wash</t>
  </si>
  <si>
    <t>Beneke Fabricators</t>
  </si>
  <si>
    <t>Schrader Minerals</t>
  </si>
  <si>
    <t>Goodman &amp; Associates</t>
  </si>
  <si>
    <t>Pinkman Packaging</t>
  </si>
  <si>
    <t>Sandia Auto Group</t>
  </si>
  <si>
    <t>Mesa Verde Storage</t>
  </si>
  <si>
    <t>Industrial Degreaser</t>
  </si>
  <si>
    <t>Food Service Gloves</t>
  </si>
  <si>
    <t>Safety Goggles</t>
  </si>
  <si>
    <t>Cleaning Cloths</t>
  </si>
  <si>
    <t>Packing Tape</t>
  </si>
  <si>
    <t>Floor Cleaner</t>
  </si>
  <si>
    <t>Storage Bins</t>
  </si>
  <si>
    <t>Sanitizer Refill</t>
  </si>
  <si>
    <t>Disposable Aprons</t>
  </si>
  <si>
    <t>Label Rolls</t>
  </si>
  <si>
    <t>Data for West 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</si>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</sst>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theme="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4" tint="0.39997558519241921"/>
      </right>
      <top/>
      <bottom style="medium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</cellStyleXfs>
  <cellXfs count="10">
    <xf numFmtId="0" fontId="0" fillId="0" borderId="0" xfId="0"/>
    <xf numFmtId="0" fontId="2" fillId="0" borderId="1" xfId="2" applyAlignment="1">
      <alignment horizontal="left" vertical="center"/>
    </xf>
    <xf numFmtId="0" fontId="5" fillId="0" borderId="0" xfId="0" applyFont="1"/>
    <xf numFmtId="14" fontId="0" fillId="0" borderId="0" xfId="0" applyNumberFormat="1"/>
    <xf numFmtId="44" fontId="0" fillId="0" borderId="0" xfId="1" applyFont="1"/>
    <xf numFmtId="0" fontId="4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2" borderId="2" xfId="3"/>
  </cellXfs>
  <cellStyles count="4">
    <cellStyle name="Calculation" xfId="3" builtinId="22"/>
    <cellStyle name="Currency" xfId="1" builtinId="4"/>
    <cellStyle name="Heading 1" xfId="2" builtinId="16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../Revision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971552</xdr:colOff>
      <xdr:row>0</xdr:row>
      <xdr:rowOff>9527</xdr:rowOff>
    </xdr:from>
    <xdr:to>
      <xdr:col>3</xdr:col>
      <xdr:colOff>1362076</xdr:colOff>
      <xdr:row>1</xdr:row>
      <xdr:rowOff>1</xdr:rowOff>
    </xdr:to>
    <xdr:pic>
      <xdr:nvPicPr>
        <xdr:cNvPr id="3" name="Graphic 2" descr="Hom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926B4A-EB32-77DB-0568-14AC93A64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91077" y="9527"/>
          <a:ext cx="390524" cy="390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631AF-6561-4CC9-A821-1ADB5666B8EF}" name="South" displayName="South" ref="A3:F13" totalsRowShown="0" headerRowDxfId="3">
  <autoFilter ref="A3:F13" xr:uid="{83C631AF-6561-4CC9-A821-1ADB5666B8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CA32442-6D7F-4D21-A0C7-172E2598C355}" name="Region"/>
    <tableColumn id="2" xr3:uid="{7F31E318-C955-4E98-99EA-281FF0614F77}" name="Data" dataDxfId="5"/>
    <tableColumn id="3" xr3:uid="{E50264FC-F0E3-4C62-951D-6515977E8186}" name="Customer"/>
    <tableColumn id="4" xr3:uid="{7FEF4F92-AAA9-4E46-8853-7522E082389A}" name="Product"/>
    <tableColumn id="5" xr3:uid="{E43C4715-377A-425B-9109-A0DA2E8CDA42}" name="Quantity"/>
    <tableColumn id="6" xr3:uid="{6C460B8D-4A5D-41C7-AC0C-BFF58EC30E60}" name="Revenue" dataDxfId="4" dataCellStyle="Currency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11CA00-F2DA-4E18-948A-8CD52E692058}" name="West" displayName="West" ref="A18:F28" totalsRowShown="0" headerRowDxfId="2">
  <autoFilter ref="A18:F28" xr:uid="{B711CA00-F2DA-4E18-948A-8CD52E6920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2ADAF93-0DCC-4095-AB8E-2A70BA1FA610}" name="Region"/>
    <tableColumn id="2" xr3:uid="{ADEE7F16-1D7C-448D-89C6-E8FE040A8969}" name="Data" dataDxfId="1"/>
    <tableColumn id="3" xr3:uid="{15FABFB8-76B9-4ABD-A67B-CF6179FAFCCA}" name="Customer"/>
    <tableColumn id="4" xr3:uid="{A52F0FFA-30C0-4252-BFD7-BA1E57103B04}" name="Product"/>
    <tableColumn id="5" xr3:uid="{1BA6157A-5C39-4DA7-B049-2B7A3A481864}" name="Quantity"/>
    <tableColumn id="6" xr3:uid="{602457E6-CE8D-41BD-8F88-FD8266A12C23}" name="Revenue" dataDxfId="0" dataCellStyle="Currenc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workbookViewId="0">
      <selection activeCell="D16" sqref="D16"/>
    </sheetView>
  </sheetViews>
  <sheetFormatPr defaultRowHeight="15" x14ac:dyDescent="0.25"/>
  <cols>
    <col min="1" max="1" width="12.85546875" customWidth="1"/>
    <col min="2" max="2" width="15.85546875" customWidth="1"/>
    <col min="3" max="3" width="28.5703125" customWidth="1"/>
    <col min="4" max="4" width="22.140625" customWidth="1"/>
    <col min="5" max="5" width="14.7109375" customWidth="1"/>
    <col min="6" max="6" width="14.85546875" customWidth="1"/>
    <col min="7" max="7" width="6" customWidth="1"/>
    <col min="8" max="8" width="13.5703125" customWidth="1"/>
    <col min="9" max="9" width="12.140625" customWidth="1"/>
    <col min="10" max="10" width="13" customWidth="1"/>
    <col min="11" max="11" width="12.85546875" customWidth="1"/>
    <col min="12" max="12" width="9.140625" customWidth="1"/>
    <col min="13" max="13" width="12.140625" customWidth="1"/>
  </cols>
  <sheetData>
    <row r="1" spans="1:13" s="1" customFormat="1" ht="31.5" customHeight="1" thickBot="1" x14ac:dyDescent="0.3">
      <c r="A1" s="1" t="s">
        <v>0</v>
      </c>
    </row>
    <row r="2" spans="1:13" ht="15.75" thickTop="1" x14ac:dyDescent="0.25">
      <c r="A2" s="2" t="s">
        <v>1</v>
      </c>
    </row>
    <row r="3" spans="1:13" ht="15.75" thickBo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H3" s="6" t="s">
        <v>2</v>
      </c>
      <c r="I3" s="7" t="s">
        <v>3</v>
      </c>
      <c r="J3" s="7" t="s">
        <v>4</v>
      </c>
      <c r="K3" s="7" t="s">
        <v>5</v>
      </c>
      <c r="L3" s="7" t="s">
        <v>6</v>
      </c>
      <c r="M3" s="8" t="s">
        <v>7</v>
      </c>
    </row>
    <row r="4" spans="1:13" x14ac:dyDescent="0.25">
      <c r="A4" t="s">
        <v>8</v>
      </c>
      <c r="B4" s="3">
        <v>46027</v>
      </c>
      <c r="C4" t="s">
        <v>9</v>
      </c>
      <c r="D4" t="s">
        <v>19</v>
      </c>
      <c r="E4">
        <v>12</v>
      </c>
      <c r="F4" s="4">
        <v>540</v>
      </c>
      <c r="H4" s="9" t="str" cm="1">
        <f t="array" ref="H4:M23">_xlfn.VSTACK(South[],West[])</f>
        <v>South</v>
      </c>
      <c r="I4" s="3">
        <v>46027</v>
      </c>
      <c r="J4" t="str">
        <v>Madrigal Electromotive</v>
      </c>
      <c r="K4" t="str">
        <v>Industrial Degreaser</v>
      </c>
      <c r="L4">
        <v>12</v>
      </c>
      <c r="M4" s="4">
        <v>540</v>
      </c>
    </row>
    <row r="5" spans="1:13" x14ac:dyDescent="0.25">
      <c r="A5" t="s">
        <v>8</v>
      </c>
      <c r="B5" s="3">
        <v>46031</v>
      </c>
      <c r="C5" t="s">
        <v>10</v>
      </c>
      <c r="D5" t="s">
        <v>20</v>
      </c>
      <c r="E5">
        <v>19</v>
      </c>
      <c r="F5" s="4">
        <v>352.26</v>
      </c>
      <c r="H5" t="str">
        <v>South</v>
      </c>
      <c r="I5" s="3">
        <v>46031</v>
      </c>
      <c r="J5" t="str">
        <v>Los Pollos Hermanos</v>
      </c>
      <c r="K5" t="str">
        <v>Food Service Gloves</v>
      </c>
      <c r="L5">
        <v>19</v>
      </c>
      <c r="M5" s="4">
        <v>352.26</v>
      </c>
    </row>
    <row r="6" spans="1:13" x14ac:dyDescent="0.25">
      <c r="A6" t="s">
        <v>8</v>
      </c>
      <c r="B6" s="3">
        <v>46035</v>
      </c>
      <c r="C6" t="s">
        <v>11</v>
      </c>
      <c r="D6" t="s">
        <v>21</v>
      </c>
      <c r="E6">
        <v>26</v>
      </c>
      <c r="F6" s="4">
        <v>1240.2</v>
      </c>
      <c r="H6" t="str">
        <v>South</v>
      </c>
      <c r="I6" s="3">
        <v>46035</v>
      </c>
      <c r="J6" t="str">
        <v>Gray Matter Technologies</v>
      </c>
      <c r="K6" t="str">
        <v>Safety Goggles</v>
      </c>
      <c r="L6">
        <v>26</v>
      </c>
      <c r="M6" s="4">
        <v>1240.2</v>
      </c>
    </row>
    <row r="7" spans="1:13" x14ac:dyDescent="0.25">
      <c r="A7" t="s">
        <v>8</v>
      </c>
      <c r="B7" s="3">
        <v>46039</v>
      </c>
      <c r="C7" t="s">
        <v>12</v>
      </c>
      <c r="D7" t="s">
        <v>22</v>
      </c>
      <c r="E7">
        <v>33</v>
      </c>
      <c r="F7" s="4">
        <v>431.64</v>
      </c>
      <c r="H7" t="str">
        <v>South</v>
      </c>
      <c r="I7" s="3">
        <v>46039</v>
      </c>
      <c r="J7" t="str">
        <v>A1A Car Wash</v>
      </c>
      <c r="K7" t="str">
        <v>Cleaning Cloths</v>
      </c>
      <c r="L7">
        <v>33</v>
      </c>
      <c r="M7" s="4">
        <v>431.64</v>
      </c>
    </row>
    <row r="8" spans="1:13" x14ac:dyDescent="0.25">
      <c r="A8" t="s">
        <v>8</v>
      </c>
      <c r="B8" s="3">
        <v>46043</v>
      </c>
      <c r="C8" t="s">
        <v>13</v>
      </c>
      <c r="D8" t="s">
        <v>23</v>
      </c>
      <c r="E8">
        <v>40</v>
      </c>
      <c r="F8" s="4">
        <v>851.2</v>
      </c>
      <c r="H8" t="str">
        <v>South</v>
      </c>
      <c r="I8" s="3">
        <v>46043</v>
      </c>
      <c r="J8" t="str">
        <v>Beneke Fabricators</v>
      </c>
      <c r="K8" t="str">
        <v>Packing Tape</v>
      </c>
      <c r="L8">
        <v>40</v>
      </c>
      <c r="M8" s="4">
        <v>851.2</v>
      </c>
    </row>
    <row r="9" spans="1:13" x14ac:dyDescent="0.25">
      <c r="A9" t="s">
        <v>8</v>
      </c>
      <c r="B9" s="3">
        <v>46047</v>
      </c>
      <c r="C9" t="s">
        <v>14</v>
      </c>
      <c r="D9" t="s">
        <v>24</v>
      </c>
      <c r="E9">
        <v>47</v>
      </c>
      <c r="F9" s="4">
        <v>1504</v>
      </c>
      <c r="H9" t="str">
        <v>South</v>
      </c>
      <c r="I9" s="3">
        <v>46047</v>
      </c>
      <c r="J9" t="str">
        <v>Schrader Minerals</v>
      </c>
      <c r="K9" t="str">
        <v>Floor Cleaner</v>
      </c>
      <c r="L9">
        <v>47</v>
      </c>
      <c r="M9" s="4">
        <v>1504</v>
      </c>
    </row>
    <row r="10" spans="1:13" x14ac:dyDescent="0.25">
      <c r="A10" t="s">
        <v>8</v>
      </c>
      <c r="B10" s="3">
        <v>46051</v>
      </c>
      <c r="C10" t="s">
        <v>15</v>
      </c>
      <c r="D10" t="s">
        <v>25</v>
      </c>
      <c r="E10">
        <v>54</v>
      </c>
      <c r="F10" s="4">
        <v>4449.6000000000004</v>
      </c>
      <c r="H10" t="str">
        <v>South</v>
      </c>
      <c r="I10" s="3">
        <v>46051</v>
      </c>
      <c r="J10" t="str">
        <v>Goodman &amp; Associates</v>
      </c>
      <c r="K10" t="str">
        <v>Storage Bins</v>
      </c>
      <c r="L10">
        <v>54</v>
      </c>
      <c r="M10" s="4">
        <v>4449.6000000000004</v>
      </c>
    </row>
    <row r="11" spans="1:13" x14ac:dyDescent="0.25">
      <c r="A11" t="s">
        <v>8</v>
      </c>
      <c r="B11" s="3">
        <v>46055</v>
      </c>
      <c r="C11" t="s">
        <v>16</v>
      </c>
      <c r="D11" t="s">
        <v>26</v>
      </c>
      <c r="E11">
        <v>61</v>
      </c>
      <c r="F11" s="4">
        <v>1939.8</v>
      </c>
      <c r="H11" t="str">
        <v>South</v>
      </c>
      <c r="I11" s="3">
        <v>46055</v>
      </c>
      <c r="J11" t="str">
        <v>Pinkman Packaging</v>
      </c>
      <c r="K11" t="str">
        <v>Sanitizer Refill</v>
      </c>
      <c r="L11">
        <v>61</v>
      </c>
      <c r="M11" s="4">
        <v>1939.8</v>
      </c>
    </row>
    <row r="12" spans="1:13" x14ac:dyDescent="0.25">
      <c r="A12" t="s">
        <v>8</v>
      </c>
      <c r="B12" s="3">
        <v>46059</v>
      </c>
      <c r="C12" t="s">
        <v>17</v>
      </c>
      <c r="D12" t="s">
        <v>27</v>
      </c>
      <c r="E12">
        <v>68</v>
      </c>
      <c r="F12" s="4">
        <v>1111.8</v>
      </c>
      <c r="H12" t="str">
        <v>South</v>
      </c>
      <c r="I12" s="3">
        <v>46059</v>
      </c>
      <c r="J12" t="str">
        <v>Sandia Auto Group</v>
      </c>
      <c r="K12" t="str">
        <v>Disposable Aprons</v>
      </c>
      <c r="L12">
        <v>68</v>
      </c>
      <c r="M12" s="4">
        <v>1111.8</v>
      </c>
    </row>
    <row r="13" spans="1:13" x14ac:dyDescent="0.25">
      <c r="A13" t="s">
        <v>8</v>
      </c>
      <c r="B13" s="3">
        <v>46063</v>
      </c>
      <c r="C13" t="s">
        <v>18</v>
      </c>
      <c r="D13" t="s">
        <v>28</v>
      </c>
      <c r="E13">
        <v>75</v>
      </c>
      <c r="F13" s="4">
        <v>1848</v>
      </c>
      <c r="H13" t="str">
        <v>South</v>
      </c>
      <c r="I13" s="3">
        <v>46063</v>
      </c>
      <c r="J13" t="str">
        <v>Mesa Verde Storage</v>
      </c>
      <c r="K13" t="str">
        <v>Label Rolls</v>
      </c>
      <c r="L13">
        <v>75</v>
      </c>
      <c r="M13" s="4">
        <v>1848</v>
      </c>
    </row>
    <row r="14" spans="1:13" x14ac:dyDescent="0.25">
      <c r="B14" s="3"/>
      <c r="F14" s="4"/>
      <c r="H14" t="str">
        <v>West</v>
      </c>
      <c r="I14" s="3">
        <v>46032</v>
      </c>
      <c r="J14" t="str">
        <v>Madrigal Electromotive</v>
      </c>
      <c r="K14" t="str">
        <v>Industrial Degreaser</v>
      </c>
      <c r="L14">
        <v>12</v>
      </c>
      <c r="M14" s="4">
        <v>540</v>
      </c>
    </row>
    <row r="15" spans="1:13" x14ac:dyDescent="0.25">
      <c r="H15" t="str">
        <v>West</v>
      </c>
      <c r="I15" s="3">
        <v>46036</v>
      </c>
      <c r="J15" t="str">
        <v>Los Pollos Hermanos</v>
      </c>
      <c r="K15" t="str">
        <v>Food Service Gloves</v>
      </c>
      <c r="L15">
        <v>19</v>
      </c>
      <c r="M15" s="4">
        <v>352.26</v>
      </c>
    </row>
    <row r="16" spans="1:13" x14ac:dyDescent="0.25">
      <c r="H16" t="str">
        <v>West</v>
      </c>
      <c r="I16" s="3">
        <v>46040</v>
      </c>
      <c r="J16" t="str">
        <v>Gray Matter Technologies</v>
      </c>
      <c r="K16" t="str">
        <v>Safety Goggles</v>
      </c>
      <c r="L16">
        <v>26</v>
      </c>
      <c r="M16" s="4">
        <v>1240.2</v>
      </c>
    </row>
    <row r="17" spans="1:13" x14ac:dyDescent="0.25">
      <c r="A17" s="2" t="s">
        <v>29</v>
      </c>
      <c r="H17" t="str">
        <v>West</v>
      </c>
      <c r="I17" s="3">
        <v>46044</v>
      </c>
      <c r="J17" t="str">
        <v>A1A Car Wash</v>
      </c>
      <c r="K17" t="str">
        <v>Cleaning Cloths</v>
      </c>
      <c r="L17">
        <v>33</v>
      </c>
      <c r="M17" s="4">
        <v>431.64</v>
      </c>
    </row>
    <row r="18" spans="1:13" x14ac:dyDescent="0.25">
      <c r="A18" s="5" t="s">
        <v>2</v>
      </c>
      <c r="B18" s="5" t="s">
        <v>3</v>
      </c>
      <c r="C18" s="5" t="s">
        <v>4</v>
      </c>
      <c r="D18" s="5" t="s">
        <v>5</v>
      </c>
      <c r="E18" s="5" t="s">
        <v>6</v>
      </c>
      <c r="F18" s="5" t="s">
        <v>7</v>
      </c>
      <c r="H18" t="str">
        <v>West</v>
      </c>
      <c r="I18" s="3">
        <v>46048</v>
      </c>
      <c r="J18" t="str">
        <v>Beneke Fabricators</v>
      </c>
      <c r="K18" t="str">
        <v>Packing Tape</v>
      </c>
      <c r="L18">
        <v>40</v>
      </c>
      <c r="M18" s="4">
        <v>851.2</v>
      </c>
    </row>
    <row r="19" spans="1:13" x14ac:dyDescent="0.25">
      <c r="A19" t="s">
        <v>30</v>
      </c>
      <c r="B19" s="3">
        <v>46032</v>
      </c>
      <c r="C19" t="s">
        <v>9</v>
      </c>
      <c r="D19" t="s">
        <v>19</v>
      </c>
      <c r="E19">
        <v>12</v>
      </c>
      <c r="F19" s="4">
        <v>540</v>
      </c>
      <c r="H19" t="str">
        <v>West</v>
      </c>
      <c r="I19" s="3">
        <v>46052</v>
      </c>
      <c r="J19" t="str">
        <v>Schrader Minerals</v>
      </c>
      <c r="K19" t="str">
        <v>Floor Cleaner</v>
      </c>
      <c r="L19">
        <v>47</v>
      </c>
      <c r="M19" s="4">
        <v>1504</v>
      </c>
    </row>
    <row r="20" spans="1:13" x14ac:dyDescent="0.25">
      <c r="A20" t="s">
        <v>30</v>
      </c>
      <c r="B20" s="3">
        <v>46036</v>
      </c>
      <c r="C20" t="s">
        <v>10</v>
      </c>
      <c r="D20" t="s">
        <v>20</v>
      </c>
      <c r="E20">
        <v>19</v>
      </c>
      <c r="F20" s="4">
        <v>352.26</v>
      </c>
      <c r="H20" t="str">
        <v>West</v>
      </c>
      <c r="I20" s="3">
        <v>46056</v>
      </c>
      <c r="J20" t="str">
        <v>Goodman &amp; Associates</v>
      </c>
      <c r="K20" t="str">
        <v>Storage Bins</v>
      </c>
      <c r="L20">
        <v>54</v>
      </c>
      <c r="M20" s="4">
        <v>4449.6000000000004</v>
      </c>
    </row>
    <row r="21" spans="1:13" x14ac:dyDescent="0.25">
      <c r="A21" t="s">
        <v>30</v>
      </c>
      <c r="B21" s="3">
        <v>46040</v>
      </c>
      <c r="C21" t="s">
        <v>11</v>
      </c>
      <c r="D21" t="s">
        <v>21</v>
      </c>
      <c r="E21">
        <v>26</v>
      </c>
      <c r="F21" s="4">
        <v>1240.2</v>
      </c>
      <c r="H21" t="str">
        <v>West</v>
      </c>
      <c r="I21" s="3">
        <v>46060</v>
      </c>
      <c r="J21" t="str">
        <v>Pinkman Packaging</v>
      </c>
      <c r="K21" t="str">
        <v>Sanitizer Refill</v>
      </c>
      <c r="L21">
        <v>61</v>
      </c>
      <c r="M21" s="4">
        <v>1939.8</v>
      </c>
    </row>
    <row r="22" spans="1:13" x14ac:dyDescent="0.25">
      <c r="A22" t="s">
        <v>30</v>
      </c>
      <c r="B22" s="3">
        <v>46044</v>
      </c>
      <c r="C22" t="s">
        <v>12</v>
      </c>
      <c r="D22" t="s">
        <v>22</v>
      </c>
      <c r="E22">
        <v>33</v>
      </c>
      <c r="F22" s="4">
        <v>431.64</v>
      </c>
      <c r="H22" t="str">
        <v>West</v>
      </c>
      <c r="I22" s="3">
        <v>46064</v>
      </c>
      <c r="J22" t="str">
        <v>Sandia Auto Group</v>
      </c>
      <c r="K22" t="str">
        <v>Disposable Aprons</v>
      </c>
      <c r="L22">
        <v>68</v>
      </c>
      <c r="M22" s="4">
        <v>1111.8</v>
      </c>
    </row>
    <row r="23" spans="1:13" x14ac:dyDescent="0.25">
      <c r="A23" t="s">
        <v>30</v>
      </c>
      <c r="B23" s="3">
        <v>46048</v>
      </c>
      <c r="C23" t="s">
        <v>13</v>
      </c>
      <c r="D23" t="s">
        <v>23</v>
      </c>
      <c r="E23">
        <v>40</v>
      </c>
      <c r="F23" s="4">
        <v>851.2</v>
      </c>
      <c r="H23" t="str">
        <v>West</v>
      </c>
      <c r="I23" s="3">
        <v>46065</v>
      </c>
      <c r="J23" t="str">
        <v>Mesa Verde Storage</v>
      </c>
      <c r="K23" t="str">
        <v>Label Rolls</v>
      </c>
      <c r="L23">
        <v>75</v>
      </c>
      <c r="M23" s="4">
        <v>1848</v>
      </c>
    </row>
    <row r="24" spans="1:13" x14ac:dyDescent="0.25">
      <c r="A24" t="s">
        <v>30</v>
      </c>
      <c r="B24" s="3">
        <v>46052</v>
      </c>
      <c r="C24" t="s">
        <v>14</v>
      </c>
      <c r="D24" t="s">
        <v>24</v>
      </c>
      <c r="E24">
        <v>47</v>
      </c>
      <c r="F24" s="4">
        <v>1504</v>
      </c>
    </row>
    <row r="25" spans="1:13" x14ac:dyDescent="0.25">
      <c r="A25" t="s">
        <v>30</v>
      </c>
      <c r="B25" s="3">
        <v>46056</v>
      </c>
      <c r="C25" t="s">
        <v>15</v>
      </c>
      <c r="D25" t="s">
        <v>25</v>
      </c>
      <c r="E25">
        <v>54</v>
      </c>
      <c r="F25" s="4">
        <v>4449.6000000000004</v>
      </c>
    </row>
    <row r="26" spans="1:13" x14ac:dyDescent="0.25">
      <c r="A26" t="s">
        <v>30</v>
      </c>
      <c r="B26" s="3">
        <v>46060</v>
      </c>
      <c r="C26" t="s">
        <v>16</v>
      </c>
      <c r="D26" t="s">
        <v>26</v>
      </c>
      <c r="E26">
        <v>61</v>
      </c>
      <c r="F26" s="4">
        <v>1939.8</v>
      </c>
    </row>
    <row r="27" spans="1:13" x14ac:dyDescent="0.25">
      <c r="A27" t="s">
        <v>30</v>
      </c>
      <c r="B27" s="3">
        <v>46064</v>
      </c>
      <c r="C27" t="s">
        <v>17</v>
      </c>
      <c r="D27" t="s">
        <v>27</v>
      </c>
      <c r="E27">
        <v>68</v>
      </c>
      <c r="F27" s="4">
        <v>1111.8</v>
      </c>
    </row>
    <row r="28" spans="1:13" x14ac:dyDescent="0.25">
      <c r="A28" t="s">
        <v>30</v>
      </c>
      <c r="B28" s="3">
        <v>46065</v>
      </c>
      <c r="C28" t="s">
        <v>18</v>
      </c>
      <c r="D28" t="s">
        <v>28</v>
      </c>
      <c r="E28">
        <v>75</v>
      </c>
      <c r="F28" s="4">
        <v>1848</v>
      </c>
    </row>
  </sheetData>
  <mergeCells count="1">
    <mergeCell ref="A1:XFD1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2026-09-17T13:45:39Z</dcterms:modified>
</cp:coreProperties>
</file>