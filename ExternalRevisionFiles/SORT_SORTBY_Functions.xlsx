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Work\Desktop\ExcelRevise\ExternalRevisionFiles\"/>
    </mc:Choice>
  </mc:AlternateContent>
  <xr:revisionPtr revIDLastSave="0" documentId="13_ncr:1_{6B433049-952C-4D93-A79C-84F925957F8E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ORT_Function" sheetId="1" r:id="rId1"/>
    <sheet name="SORTBY_Func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 a="1"/>
  <c r="K4" i="2" a="1"/>
  <c r="N5" i="1" a="1"/>
  <c r="K5" i="1" a="1"/>
  <c r="F5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<sst xmlns="http://schemas.openxmlformats.org/spreadsheetml/2006/main" count="181" uniqueCount="41">
  <si>
    <t>Sorting Using the SORT Function</t>
  </si>
  <si>
    <t>Block</t>
  </si>
  <si>
    <t>Student</t>
  </si>
  <si>
    <t>Exam</t>
  </si>
  <si>
    <t>Mark</t>
  </si>
  <si>
    <t>West</t>
  </si>
  <si>
    <t>North</t>
  </si>
  <si>
    <t>South</t>
  </si>
  <si>
    <t>East</t>
  </si>
  <si>
    <t>Leon Kenedy</t>
  </si>
  <si>
    <t>Deborah Ashby</t>
  </si>
  <si>
    <t>Adam Lacey</t>
  </si>
  <si>
    <t>Ben Lee</t>
  </si>
  <si>
    <t>Sarah Jones</t>
  </si>
  <si>
    <t>Olivia Green</t>
  </si>
  <si>
    <t>Ming Sia</t>
  </si>
  <si>
    <t>David Patterson</t>
  </si>
  <si>
    <t>Chloe Newbury</t>
  </si>
  <si>
    <t>Mrtin Waters</t>
  </si>
  <si>
    <t>Julie Tavistock</t>
  </si>
  <si>
    <t>Kurt Webster</t>
  </si>
  <si>
    <t>Lucy Matthews</t>
  </si>
  <si>
    <t>Patric Barker</t>
  </si>
  <si>
    <t>Terry Abbott</t>
  </si>
  <si>
    <t>Jorge Waters</t>
  </si>
  <si>
    <t>Ada Wang</t>
  </si>
  <si>
    <t>Ashley Grahm</t>
  </si>
  <si>
    <t>Pedro Costa</t>
  </si>
  <si>
    <t>Tina Ray</t>
  </si>
  <si>
    <t>Abel Ballard</t>
  </si>
  <si>
    <t>Gretchen Williams</t>
  </si>
  <si>
    <t>Jordan Rodgers</t>
  </si>
  <si>
    <t>Tomas Barnett</t>
  </si>
  <si>
    <t>Henrietta Ramsey</t>
  </si>
  <si>
    <t>Maths</t>
  </si>
  <si>
    <t>English</t>
  </si>
  <si>
    <t>French</t>
  </si>
  <si>
    <t>History</t>
  </si>
  <si>
    <t>East Wing</t>
  </si>
  <si>
    <t>Zenox</t>
  </si>
  <si>
    <t>Sorting Using the SORTBY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</si>
</sst>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0" fontId="2" fillId="2" borderId="0" xfId="0" applyFont="1" applyFill="1"/>
    <xf numFmtId="0" fontId="1" fillId="0" borderId="1" xfId="1" applyAlignment="1">
      <alignment horizontal="left" vertical="center"/>
    </xf>
  </cellXfs>
  <cellStyles count="2">
    <cellStyle name="Heading 1" xfId="1" builtinId="16"/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../Revision.xlsx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../Revision.xlsx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561975</xdr:colOff>
      <xdr:row>0</xdr:row>
      <xdr:rowOff>9525</xdr:rowOff>
    </xdr:from>
    <xdr:to>
      <xdr:col>12</xdr:col>
      <xdr:colOff>466725</xdr:colOff>
      <xdr:row>2</xdr:row>
      <xdr:rowOff>152399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027D625-BD2C-E91D-2D1C-AA500450BC80}"/>
            </a:ext>
          </a:extLst>
        </xdr:cNvPr>
        <xdr:cNvSpPr txBox="1"/>
      </xdr:nvSpPr>
      <xdr:spPr>
        <a:xfrm>
          <a:off x="5495925" y="9525"/>
          <a:ext cx="5162550" cy="781049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SORT(</a:t>
          </a:r>
          <a:r>
            <a:rPr lang="en-US" sz="1100"/>
            <a:t>array</a:t>
          </a:r>
          <a:r>
            <a:rPr lang="en-US" sz="1100" b="1"/>
            <a:t>,</a:t>
          </a:r>
          <a:r>
            <a:rPr lang="en-US" sz="1100"/>
            <a:t> column No</a:t>
          </a:r>
          <a:r>
            <a:rPr lang="en-US" sz="1100" b="1"/>
            <a:t>,</a:t>
          </a:r>
          <a:r>
            <a:rPr lang="en-US" sz="1100" baseline="0"/>
            <a:t> Ascending / Descending</a:t>
          </a:r>
          <a:r>
            <a:rPr lang="en-US" sz="1100" b="1" baseline="0"/>
            <a:t>,</a:t>
          </a:r>
          <a:r>
            <a:rPr lang="en-US" sz="1100" baseline="0"/>
            <a:t> sort by column / row</a:t>
          </a:r>
          <a:r>
            <a:rPr lang="en-US" sz="1100" b="1"/>
            <a:t>)</a:t>
          </a:r>
        </a:p>
        <a:p>
          <a:endParaRPr lang="en-US" sz="1100" b="1"/>
        </a:p>
        <a:p>
          <a:r>
            <a:rPr lang="en-US" sz="1100" b="1"/>
            <a:t>* Cant sort data that is not next to each</a:t>
          </a:r>
          <a:r>
            <a:rPr lang="en-US" sz="1100" b="1" baseline="0"/>
            <a:t> other, They should be one after the othrer</a:t>
          </a:r>
          <a:endParaRPr lang="en-US" sz="1100" b="1"/>
        </a:p>
        <a:p>
          <a:r>
            <a:rPr lang="en-US" sz="1100" b="1"/>
            <a:t>*</a:t>
          </a:r>
          <a:r>
            <a:rPr lang="en-US" sz="1100" b="1" baseline="0"/>
            <a:t> =SORT(A5:D29, 2, 1, FALSE)</a:t>
          </a:r>
          <a:endParaRPr lang="en-US" sz="1100" b="1"/>
        </a:p>
      </xdr:txBody>
    </xdr:sp>
    <xdr:clientData/>
  </xdr:twoCellAnchor>
  <xdr:twoCellAnchor editAs="oneCell">
    <xdr:from>
      <xdr:col>3</xdr:col>
      <xdr:colOff>657225</xdr:colOff>
      <xdr:row>0</xdr:row>
      <xdr:rowOff>66675</xdr:rowOff>
    </xdr:from>
    <xdr:to>
      <xdr:col>4</xdr:col>
      <xdr:colOff>305253</xdr:colOff>
      <xdr:row>1</xdr:row>
      <xdr:rowOff>9524</xdr:rowOff>
    </xdr:to>
    <xdr:pic>
      <xdr:nvPicPr>
        <xdr:cNvPr id="3" name="Graphic 2" descr="Home with solid fill">
          <a:hlinkClick xmlns:r="http://schemas.openxmlformats.org/officeDocument/2006/relationships" r:id="rId1" tooltip="Go to &quot;Home&quot; sheet"/>
          <a:extLst>
            <a:ext uri="{FF2B5EF4-FFF2-40B4-BE49-F238E27FC236}">
              <a16:creationId xmlns:a16="http://schemas.microsoft.com/office/drawing/2014/main" id="{D2D5CF33-700F-48BE-AD35-82E31677E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3505200" y="66675"/>
          <a:ext cx="362403" cy="3809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352425</xdr:colOff>
      <xdr:row>1</xdr:row>
      <xdr:rowOff>180975</xdr:rowOff>
    </xdr:from>
    <xdr:to>
      <xdr:col>18</xdr:col>
      <xdr:colOff>66675</xdr:colOff>
      <xdr:row>7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83A039C-EDD0-59E0-4EE3-405D3B9624EB}"/>
            </a:ext>
          </a:extLst>
        </xdr:cNvPr>
        <xdr:cNvSpPr txBox="1"/>
      </xdr:nvSpPr>
      <xdr:spPr>
        <a:xfrm>
          <a:off x="10315575" y="600075"/>
          <a:ext cx="3371850" cy="11430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=SORTBY(array,</a:t>
          </a:r>
          <a:r>
            <a:rPr lang="en-US" sz="1100" baseline="0"/>
            <a:t> col-array [To Sort By], order [ 1 = Ascending / -1 = Descending],.....)</a:t>
          </a:r>
          <a:endParaRPr lang="en-US" sz="1100"/>
        </a:p>
      </xdr:txBody>
    </xdr:sp>
    <xdr:clientData/>
  </xdr:twoCellAnchor>
  <xdr:twoCellAnchor editAs="oneCell">
    <xdr:from>
      <xdr:col>5</xdr:col>
      <xdr:colOff>304800</xdr:colOff>
      <xdr:row>0</xdr:row>
      <xdr:rowOff>28575</xdr:rowOff>
    </xdr:from>
    <xdr:to>
      <xdr:col>5</xdr:col>
      <xdr:colOff>667203</xdr:colOff>
      <xdr:row>0</xdr:row>
      <xdr:rowOff>409574</xdr:rowOff>
    </xdr:to>
    <xdr:pic>
      <xdr:nvPicPr>
        <xdr:cNvPr id="4" name="Graphic 3" descr="Home with solid fill">
          <a:hlinkClick xmlns:r="http://schemas.openxmlformats.org/officeDocument/2006/relationships" r:id="rId1" tooltip="Go to &quot;Home&quot; sheet"/>
          <a:extLst>
            <a:ext uri="{FF2B5EF4-FFF2-40B4-BE49-F238E27FC236}">
              <a16:creationId xmlns:a16="http://schemas.microsoft.com/office/drawing/2014/main" id="{2A726E18-6B71-4046-B646-3ED896246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152900" y="28575"/>
          <a:ext cx="362403" cy="38099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D7DE11-2EF6-4387-B7DE-E371EAB7B6DC}" name="Table1" displayName="Table1" ref="A4:D30" totalsRowShown="0" headerRowDxfId="0">
  <autoFilter ref="A4:D30" xr:uid="{DBD7DE11-2EF6-4387-B7DE-E371EAB7B6DC}"/>
  <tableColumns count="4">
    <tableColumn id="1" xr3:uid="{DBFA75F9-A78A-46B4-B1F8-F7D6ABEE92B0}" name="Block"/>
    <tableColumn id="2" xr3:uid="{B075E022-2DD1-4C38-9B13-CF9E218D7061}" name="Student"/>
    <tableColumn id="3" xr3:uid="{9DA9E010-C5C6-490D-96C5-6AC0699E628C}" name="Exam"/>
    <tableColumn id="4" xr3:uid="{64DF6449-A0E2-44B9-8049-ABFF43DD9069}" name="Mark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2325CA-1753-43E2-831F-F003B61ADBDD}" name="Table13" displayName="Table13" ref="A3:D29" totalsRowShown="0" headerRowDxfId="1">
  <autoFilter ref="A3:D29" xr:uid="{712325CA-1753-43E2-831F-F003B61ADBDD}"/>
  <tableColumns count="4">
    <tableColumn id="1" xr3:uid="{3A91DBD2-DC41-4B52-83D8-3A3924841E95}" name="Block"/>
    <tableColumn id="2" xr3:uid="{7BEE589B-F347-4C5E-9DA8-358A656B197A}" name="Student"/>
    <tableColumn id="3" xr3:uid="{9171666C-02F5-4CDB-B7A1-2DE82336EF9C}" name="Exam"/>
    <tableColumn id="4" xr3:uid="{52629DA0-4223-4D55-AEF5-FA9BE0C1A405}" name="Mar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workbookViewId="0">
      <selection activeCell="E2" sqref="E2"/>
    </sheetView>
  </sheetViews>
  <sheetFormatPr defaultRowHeight="15" x14ac:dyDescent="0.25"/>
  <cols>
    <col min="1" max="1" width="11.5703125" customWidth="1"/>
    <col min="2" max="2" width="19.28515625" customWidth="1"/>
    <col min="3" max="3" width="11.85546875" customWidth="1"/>
    <col min="4" max="4" width="10.7109375" customWidth="1"/>
    <col min="6" max="6" width="11.42578125" customWidth="1"/>
    <col min="7" max="7" width="19.85546875" customWidth="1"/>
    <col min="8" max="8" width="11.85546875" customWidth="1"/>
    <col min="9" max="9" width="10" customWidth="1"/>
    <col min="11" max="11" width="10" customWidth="1"/>
    <col min="12" max="12" width="18" customWidth="1"/>
    <col min="14" max="14" width="17.5703125" customWidth="1"/>
    <col min="15" max="15" width="10.7109375" customWidth="1"/>
  </cols>
  <sheetData>
    <row r="1" spans="1:16" s="2" customFormat="1" ht="34.5" customHeight="1" thickBot="1" x14ac:dyDescent="0.3">
      <c r="A1" s="2" t="s">
        <v>0</v>
      </c>
    </row>
    <row r="2" spans="1:16" ht="15.75" thickTop="1" x14ac:dyDescent="0.25"/>
    <row r="4" spans="1:16" x14ac:dyDescent="0.25">
      <c r="A4" s="1" t="s">
        <v>1</v>
      </c>
      <c r="B4" s="1" t="s">
        <v>2</v>
      </c>
      <c r="C4" s="1" t="s">
        <v>3</v>
      </c>
      <c r="D4" s="1" t="s">
        <v>4</v>
      </c>
      <c r="F4" s="1" t="s">
        <v>1</v>
      </c>
      <c r="G4" s="1" t="s">
        <v>2</v>
      </c>
      <c r="H4" s="1" t="s">
        <v>3</v>
      </c>
      <c r="I4" s="1" t="s">
        <v>4</v>
      </c>
      <c r="K4" s="1" t="s">
        <v>1</v>
      </c>
      <c r="L4" s="1" t="s">
        <v>2</v>
      </c>
      <c r="N4" s="1" t="s">
        <v>2</v>
      </c>
      <c r="O4" s="1" t="s">
        <v>3</v>
      </c>
      <c r="P4" s="1" t="s">
        <v>4</v>
      </c>
    </row>
    <row r="5" spans="1:16" x14ac:dyDescent="0.25">
      <c r="A5" t="s">
        <v>5</v>
      </c>
      <c r="B5" t="s">
        <v>9</v>
      </c>
      <c r="C5" t="s">
        <v>34</v>
      </c>
      <c r="D5">
        <v>60</v>
      </c>
      <c r="F5" t="str" cm="1">
        <f t="array" ref="F5:I30">_xlfn._xlws.SORT(Table1[],2,1)</f>
        <v>North</v>
      </c>
      <c r="G5" t="str">
        <v>Abel Ballard</v>
      </c>
      <c r="H5" t="str">
        <v>Maths</v>
      </c>
      <c r="I5">
        <v>75</v>
      </c>
      <c r="K5" t="str" cm="1">
        <f t="array" ref="K5:L30">_xlfn._xlws.SORT(Table1[[Block]:[Student]],2,1)</f>
        <v>North</v>
      </c>
      <c r="L5" t="str">
        <v>Abel Ballard</v>
      </c>
      <c r="N5" t="str" cm="1">
        <f t="array" ref="N5:P30">_xlfn._xlws.SORT(Table1[[Student]:[Mark]],1,1)</f>
        <v>Abel Ballard</v>
      </c>
      <c r="O5" t="str">
        <v>Maths</v>
      </c>
      <c r="P5">
        <v>75</v>
      </c>
    </row>
    <row r="6" spans="1:16" x14ac:dyDescent="0.25">
      <c r="A6" t="s">
        <v>6</v>
      </c>
      <c r="B6" t="s">
        <v>10</v>
      </c>
      <c r="C6" t="s">
        <v>35</v>
      </c>
      <c r="D6">
        <v>25</v>
      </c>
      <c r="F6" t="str">
        <v>South</v>
      </c>
      <c r="G6" t="str">
        <v>Ada Wang</v>
      </c>
      <c r="H6" t="str">
        <v>History</v>
      </c>
      <c r="I6">
        <v>77</v>
      </c>
      <c r="K6" t="str">
        <v>South</v>
      </c>
      <c r="L6" t="str">
        <v>Ada Wang</v>
      </c>
      <c r="N6" t="str">
        <v>Ada Wang</v>
      </c>
      <c r="O6" t="str">
        <v>History</v>
      </c>
      <c r="P6">
        <v>77</v>
      </c>
    </row>
    <row r="7" spans="1:16" x14ac:dyDescent="0.25">
      <c r="A7" t="s">
        <v>7</v>
      </c>
      <c r="B7" t="s">
        <v>11</v>
      </c>
      <c r="C7" t="s">
        <v>36</v>
      </c>
      <c r="D7">
        <v>40</v>
      </c>
      <c r="F7" t="str">
        <v>South</v>
      </c>
      <c r="G7" t="str">
        <v>Adam Lacey</v>
      </c>
      <c r="H7" t="str">
        <v>French</v>
      </c>
      <c r="I7">
        <v>40</v>
      </c>
      <c r="K7" t="str">
        <v>South</v>
      </c>
      <c r="L7" t="str">
        <v>Adam Lacey</v>
      </c>
      <c r="N7" t="str">
        <v>Adam Lacey</v>
      </c>
      <c r="O7" t="str">
        <v>French</v>
      </c>
      <c r="P7">
        <v>40</v>
      </c>
    </row>
    <row r="8" spans="1:16" x14ac:dyDescent="0.25">
      <c r="A8" t="s">
        <v>6</v>
      </c>
      <c r="B8" t="s">
        <v>12</v>
      </c>
      <c r="C8" t="s">
        <v>36</v>
      </c>
      <c r="D8">
        <v>80</v>
      </c>
      <c r="F8" t="str">
        <v>South</v>
      </c>
      <c r="G8" t="str">
        <v>Ashley Grahm</v>
      </c>
      <c r="H8" t="str">
        <v>History</v>
      </c>
      <c r="I8">
        <v>100</v>
      </c>
      <c r="K8" t="str">
        <v>South</v>
      </c>
      <c r="L8" t="str">
        <v>Ashley Grahm</v>
      </c>
      <c r="N8" t="str">
        <v>Ashley Grahm</v>
      </c>
      <c r="O8" t="str">
        <v>History</v>
      </c>
      <c r="P8">
        <v>100</v>
      </c>
    </row>
    <row r="9" spans="1:16" x14ac:dyDescent="0.25">
      <c r="A9" t="s">
        <v>5</v>
      </c>
      <c r="B9" t="s">
        <v>13</v>
      </c>
      <c r="C9" t="s">
        <v>36</v>
      </c>
      <c r="D9">
        <v>90</v>
      </c>
      <c r="F9" t="str">
        <v>North</v>
      </c>
      <c r="G9" t="str">
        <v>Ben Lee</v>
      </c>
      <c r="H9" t="str">
        <v>French</v>
      </c>
      <c r="I9">
        <v>80</v>
      </c>
      <c r="K9" t="str">
        <v>North</v>
      </c>
      <c r="L9" t="str">
        <v>Ben Lee</v>
      </c>
      <c r="N9" t="str">
        <v>Ben Lee</v>
      </c>
      <c r="O9" t="str">
        <v>French</v>
      </c>
      <c r="P9">
        <v>80</v>
      </c>
    </row>
    <row r="10" spans="1:16" x14ac:dyDescent="0.25">
      <c r="A10" t="s">
        <v>8</v>
      </c>
      <c r="B10" t="s">
        <v>14</v>
      </c>
      <c r="C10" t="s">
        <v>36</v>
      </c>
      <c r="D10">
        <v>100</v>
      </c>
      <c r="F10" t="str">
        <v>West</v>
      </c>
      <c r="G10" t="str">
        <v>Chloe Newbury</v>
      </c>
      <c r="H10" t="str">
        <v>English</v>
      </c>
      <c r="I10">
        <v>73</v>
      </c>
      <c r="K10" t="str">
        <v>West</v>
      </c>
      <c r="L10" t="str">
        <v>Chloe Newbury</v>
      </c>
      <c r="N10" t="str">
        <v>Chloe Newbury</v>
      </c>
      <c r="O10" t="str">
        <v>English</v>
      </c>
      <c r="P10">
        <v>73</v>
      </c>
    </row>
    <row r="11" spans="1:16" x14ac:dyDescent="0.25">
      <c r="A11" t="s">
        <v>7</v>
      </c>
      <c r="B11" t="s">
        <v>15</v>
      </c>
      <c r="C11" t="s">
        <v>35</v>
      </c>
      <c r="D11">
        <v>35</v>
      </c>
      <c r="F11" t="str">
        <v>East</v>
      </c>
      <c r="G11" t="str">
        <v>David Patterson</v>
      </c>
      <c r="H11" t="str">
        <v>English</v>
      </c>
      <c r="I11">
        <v>64</v>
      </c>
      <c r="K11" t="str">
        <v>East</v>
      </c>
      <c r="L11" t="str">
        <v>David Patterson</v>
      </c>
      <c r="N11" t="str">
        <v>David Patterson</v>
      </c>
      <c r="O11" t="str">
        <v>English</v>
      </c>
      <c r="P11">
        <v>64</v>
      </c>
    </row>
    <row r="12" spans="1:16" x14ac:dyDescent="0.25">
      <c r="A12" t="s">
        <v>8</v>
      </c>
      <c r="B12" t="s">
        <v>16</v>
      </c>
      <c r="C12" t="s">
        <v>35</v>
      </c>
      <c r="D12">
        <v>64</v>
      </c>
      <c r="F12" t="str">
        <v>North</v>
      </c>
      <c r="G12" t="str">
        <v>Deborah Ashby</v>
      </c>
      <c r="H12" t="str">
        <v>English</v>
      </c>
      <c r="I12">
        <v>25</v>
      </c>
      <c r="K12" t="str">
        <v>North</v>
      </c>
      <c r="L12" t="str">
        <v>Deborah Ashby</v>
      </c>
      <c r="N12" t="str">
        <v>Deborah Ashby</v>
      </c>
      <c r="O12" t="str">
        <v>English</v>
      </c>
      <c r="P12">
        <v>25</v>
      </c>
    </row>
    <row r="13" spans="1:16" x14ac:dyDescent="0.25">
      <c r="A13" t="s">
        <v>5</v>
      </c>
      <c r="B13" t="s">
        <v>17</v>
      </c>
      <c r="C13" t="s">
        <v>35</v>
      </c>
      <c r="D13">
        <v>73</v>
      </c>
      <c r="F13" t="str">
        <v>East</v>
      </c>
      <c r="G13" t="str">
        <v>Gretchen Williams</v>
      </c>
      <c r="H13" t="str">
        <v>French</v>
      </c>
      <c r="I13">
        <v>76</v>
      </c>
      <c r="K13" t="str">
        <v>East</v>
      </c>
      <c r="L13" t="str">
        <v>Gretchen Williams</v>
      </c>
      <c r="N13" t="str">
        <v>Gretchen Williams</v>
      </c>
      <c r="O13" t="str">
        <v>French</v>
      </c>
      <c r="P13">
        <v>76</v>
      </c>
    </row>
    <row r="14" spans="1:16" x14ac:dyDescent="0.25">
      <c r="A14" t="s">
        <v>7</v>
      </c>
      <c r="B14" t="s">
        <v>18</v>
      </c>
      <c r="C14" t="s">
        <v>34</v>
      </c>
      <c r="D14">
        <v>87</v>
      </c>
      <c r="F14" t="str">
        <v>West</v>
      </c>
      <c r="G14" t="str">
        <v>Henrietta Ramsey</v>
      </c>
      <c r="H14" t="str">
        <v>English</v>
      </c>
      <c r="I14">
        <v>90</v>
      </c>
      <c r="K14" t="str">
        <v>West</v>
      </c>
      <c r="L14" t="str">
        <v>Henrietta Ramsey</v>
      </c>
      <c r="N14" t="str">
        <v>Henrietta Ramsey</v>
      </c>
      <c r="O14" t="str">
        <v>English</v>
      </c>
      <c r="P14">
        <v>90</v>
      </c>
    </row>
    <row r="15" spans="1:16" x14ac:dyDescent="0.25">
      <c r="A15" t="s">
        <v>6</v>
      </c>
      <c r="B15" t="s">
        <v>19</v>
      </c>
      <c r="C15" t="s">
        <v>34</v>
      </c>
      <c r="D15">
        <v>28</v>
      </c>
      <c r="F15" t="str">
        <v>South</v>
      </c>
      <c r="G15" t="str">
        <v>Jordan Rodgers</v>
      </c>
      <c r="H15" t="str">
        <v>French</v>
      </c>
      <c r="I15">
        <v>38</v>
      </c>
      <c r="K15" t="str">
        <v>South</v>
      </c>
      <c r="L15" t="str">
        <v>Jordan Rodgers</v>
      </c>
      <c r="N15" t="str">
        <v>Jordan Rodgers</v>
      </c>
      <c r="O15" t="str">
        <v>French</v>
      </c>
      <c r="P15">
        <v>38</v>
      </c>
    </row>
    <row r="16" spans="1:16" x14ac:dyDescent="0.25">
      <c r="A16" t="s">
        <v>7</v>
      </c>
      <c r="B16" t="s">
        <v>20</v>
      </c>
      <c r="C16" t="s">
        <v>35</v>
      </c>
      <c r="D16">
        <v>97</v>
      </c>
      <c r="F16" t="str">
        <v>West</v>
      </c>
      <c r="G16" t="str">
        <v>Jorge Waters</v>
      </c>
      <c r="H16" t="str">
        <v>French</v>
      </c>
      <c r="I16">
        <v>78</v>
      </c>
      <c r="K16" t="str">
        <v>West</v>
      </c>
      <c r="L16" t="str">
        <v>Jorge Waters</v>
      </c>
      <c r="N16" t="str">
        <v>Jorge Waters</v>
      </c>
      <c r="O16" t="str">
        <v>French</v>
      </c>
      <c r="P16">
        <v>78</v>
      </c>
    </row>
    <row r="17" spans="1:16" x14ac:dyDescent="0.25">
      <c r="A17" t="s">
        <v>5</v>
      </c>
      <c r="B17" t="s">
        <v>21</v>
      </c>
      <c r="C17" t="s">
        <v>35</v>
      </c>
      <c r="D17">
        <v>99</v>
      </c>
      <c r="F17" t="str">
        <v>North</v>
      </c>
      <c r="G17" t="str">
        <v>Julie Tavistock</v>
      </c>
      <c r="H17" t="str">
        <v>Maths</v>
      </c>
      <c r="I17">
        <v>28</v>
      </c>
      <c r="K17" t="str">
        <v>North</v>
      </c>
      <c r="L17" t="str">
        <v>Julie Tavistock</v>
      </c>
      <c r="N17" t="str">
        <v>Julie Tavistock</v>
      </c>
      <c r="O17" t="str">
        <v>Maths</v>
      </c>
      <c r="P17">
        <v>28</v>
      </c>
    </row>
    <row r="18" spans="1:16" x14ac:dyDescent="0.25">
      <c r="A18" t="s">
        <v>8</v>
      </c>
      <c r="B18" t="s">
        <v>22</v>
      </c>
      <c r="C18" t="s">
        <v>37</v>
      </c>
      <c r="D18">
        <v>58</v>
      </c>
      <c r="F18" t="str">
        <v>South</v>
      </c>
      <c r="G18" t="str">
        <v>Kurt Webster</v>
      </c>
      <c r="H18" t="str">
        <v>English</v>
      </c>
      <c r="I18">
        <v>97</v>
      </c>
      <c r="K18" t="str">
        <v>South</v>
      </c>
      <c r="L18" t="str">
        <v>Kurt Webster</v>
      </c>
      <c r="N18" t="str">
        <v>Kurt Webster</v>
      </c>
      <c r="O18" t="str">
        <v>English</v>
      </c>
      <c r="P18">
        <v>97</v>
      </c>
    </row>
    <row r="19" spans="1:16" x14ac:dyDescent="0.25">
      <c r="A19" t="s">
        <v>8</v>
      </c>
      <c r="B19" t="s">
        <v>23</v>
      </c>
      <c r="C19" t="s">
        <v>36</v>
      </c>
      <c r="D19">
        <v>46</v>
      </c>
      <c r="F19" t="str">
        <v>West</v>
      </c>
      <c r="G19" t="str">
        <v>Leon Kenedy</v>
      </c>
      <c r="H19" t="str">
        <v>Maths</v>
      </c>
      <c r="I19">
        <v>60</v>
      </c>
      <c r="K19" t="str">
        <v>West</v>
      </c>
      <c r="L19" t="str">
        <v>Leon Kenedy</v>
      </c>
      <c r="N19" t="str">
        <v>Leon Kenedy</v>
      </c>
      <c r="O19" t="str">
        <v>Maths</v>
      </c>
      <c r="P19">
        <v>60</v>
      </c>
    </row>
    <row r="20" spans="1:16" x14ac:dyDescent="0.25">
      <c r="A20" t="s">
        <v>5</v>
      </c>
      <c r="B20" t="s">
        <v>24</v>
      </c>
      <c r="C20" t="s">
        <v>36</v>
      </c>
      <c r="D20">
        <v>78</v>
      </c>
      <c r="F20" t="str">
        <v>West</v>
      </c>
      <c r="G20" t="str">
        <v>Lucy Matthews</v>
      </c>
      <c r="H20" t="str">
        <v>English</v>
      </c>
      <c r="I20">
        <v>99</v>
      </c>
      <c r="K20" t="str">
        <v>West</v>
      </c>
      <c r="L20" t="str">
        <v>Lucy Matthews</v>
      </c>
      <c r="N20" t="str">
        <v>Lucy Matthews</v>
      </c>
      <c r="O20" t="str">
        <v>English</v>
      </c>
      <c r="P20">
        <v>99</v>
      </c>
    </row>
    <row r="21" spans="1:16" x14ac:dyDescent="0.25">
      <c r="A21" t="s">
        <v>7</v>
      </c>
      <c r="B21" t="s">
        <v>25</v>
      </c>
      <c r="C21" t="s">
        <v>37</v>
      </c>
      <c r="D21">
        <v>77</v>
      </c>
      <c r="F21" t="str">
        <v>South</v>
      </c>
      <c r="G21" t="str">
        <v>Ming Sia</v>
      </c>
      <c r="H21" t="str">
        <v>English</v>
      </c>
      <c r="I21">
        <v>35</v>
      </c>
      <c r="K21" t="str">
        <v>South</v>
      </c>
      <c r="L21" t="str">
        <v>Ming Sia</v>
      </c>
      <c r="N21" t="str">
        <v>Ming Sia</v>
      </c>
      <c r="O21" t="str">
        <v>English</v>
      </c>
      <c r="P21">
        <v>35</v>
      </c>
    </row>
    <row r="22" spans="1:16" x14ac:dyDescent="0.25">
      <c r="A22" t="s">
        <v>7</v>
      </c>
      <c r="B22" t="s">
        <v>26</v>
      </c>
      <c r="C22" t="s">
        <v>37</v>
      </c>
      <c r="D22">
        <v>100</v>
      </c>
      <c r="F22" t="str">
        <v>South</v>
      </c>
      <c r="G22" t="str">
        <v>Mrtin Waters</v>
      </c>
      <c r="H22" t="str">
        <v>Maths</v>
      </c>
      <c r="I22">
        <v>87</v>
      </c>
      <c r="K22" t="str">
        <v>South</v>
      </c>
      <c r="L22" t="str">
        <v>Mrtin Waters</v>
      </c>
      <c r="N22" t="str">
        <v>Mrtin Waters</v>
      </c>
      <c r="O22" t="str">
        <v>Maths</v>
      </c>
      <c r="P22">
        <v>87</v>
      </c>
    </row>
    <row r="23" spans="1:16" x14ac:dyDescent="0.25">
      <c r="A23" t="s">
        <v>7</v>
      </c>
      <c r="B23" t="s">
        <v>27</v>
      </c>
      <c r="C23" t="s">
        <v>37</v>
      </c>
      <c r="D23">
        <v>45</v>
      </c>
      <c r="F23" t="str">
        <v>East</v>
      </c>
      <c r="G23" t="str">
        <v>Olivia Green</v>
      </c>
      <c r="H23" t="str">
        <v>French</v>
      </c>
      <c r="I23">
        <v>100</v>
      </c>
      <c r="K23" t="str">
        <v>East</v>
      </c>
      <c r="L23" t="str">
        <v>Olivia Green</v>
      </c>
      <c r="N23" t="str">
        <v>Olivia Green</v>
      </c>
      <c r="O23" t="str">
        <v>French</v>
      </c>
      <c r="P23">
        <v>100</v>
      </c>
    </row>
    <row r="24" spans="1:16" x14ac:dyDescent="0.25">
      <c r="A24" t="s">
        <v>8</v>
      </c>
      <c r="B24" t="s">
        <v>28</v>
      </c>
      <c r="C24" t="s">
        <v>36</v>
      </c>
      <c r="D24">
        <v>85</v>
      </c>
      <c r="F24" t="str">
        <v>East</v>
      </c>
      <c r="G24" t="str">
        <v>Patric Barker</v>
      </c>
      <c r="H24" t="str">
        <v>History</v>
      </c>
      <c r="I24">
        <v>58</v>
      </c>
      <c r="K24" t="str">
        <v>East</v>
      </c>
      <c r="L24" t="str">
        <v>Patric Barker</v>
      </c>
      <c r="N24" t="str">
        <v>Patric Barker</v>
      </c>
      <c r="O24" t="str">
        <v>History</v>
      </c>
      <c r="P24">
        <v>58</v>
      </c>
    </row>
    <row r="25" spans="1:16" x14ac:dyDescent="0.25">
      <c r="A25" t="s">
        <v>6</v>
      </c>
      <c r="B25" t="s">
        <v>29</v>
      </c>
      <c r="C25" t="s">
        <v>34</v>
      </c>
      <c r="D25">
        <v>75</v>
      </c>
      <c r="F25" t="str">
        <v>South</v>
      </c>
      <c r="G25" t="str">
        <v>Pedro Costa</v>
      </c>
      <c r="H25" t="str">
        <v>History</v>
      </c>
      <c r="I25">
        <v>45</v>
      </c>
      <c r="K25" t="str">
        <v>South</v>
      </c>
      <c r="L25" t="str">
        <v>Pedro Costa</v>
      </c>
      <c r="N25" t="str">
        <v>Pedro Costa</v>
      </c>
      <c r="O25" t="str">
        <v>History</v>
      </c>
      <c r="P25">
        <v>45</v>
      </c>
    </row>
    <row r="26" spans="1:16" x14ac:dyDescent="0.25">
      <c r="A26" t="s">
        <v>8</v>
      </c>
      <c r="B26" t="s">
        <v>30</v>
      </c>
      <c r="C26" t="s">
        <v>36</v>
      </c>
      <c r="D26">
        <v>76</v>
      </c>
      <c r="F26" t="str">
        <v>West</v>
      </c>
      <c r="G26" t="str">
        <v>Sarah Jones</v>
      </c>
      <c r="H26" t="str">
        <v>French</v>
      </c>
      <c r="I26">
        <v>90</v>
      </c>
      <c r="K26" t="str">
        <v>West</v>
      </c>
      <c r="L26" t="str">
        <v>Sarah Jones</v>
      </c>
      <c r="N26" t="str">
        <v>Sarah Jones</v>
      </c>
      <c r="O26" t="str">
        <v>French</v>
      </c>
      <c r="P26">
        <v>90</v>
      </c>
    </row>
    <row r="27" spans="1:16" x14ac:dyDescent="0.25">
      <c r="A27" t="s">
        <v>7</v>
      </c>
      <c r="B27" t="s">
        <v>31</v>
      </c>
      <c r="C27" t="s">
        <v>36</v>
      </c>
      <c r="D27">
        <v>38</v>
      </c>
      <c r="F27" t="str">
        <v>East</v>
      </c>
      <c r="G27" t="str">
        <v>Terry Abbott</v>
      </c>
      <c r="H27" t="str">
        <v>French</v>
      </c>
      <c r="I27">
        <v>46</v>
      </c>
      <c r="K27" t="str">
        <v>East</v>
      </c>
      <c r="L27" t="str">
        <v>Terry Abbott</v>
      </c>
      <c r="N27" t="str">
        <v>Terry Abbott</v>
      </c>
      <c r="O27" t="str">
        <v>French</v>
      </c>
      <c r="P27">
        <v>46</v>
      </c>
    </row>
    <row r="28" spans="1:16" x14ac:dyDescent="0.25">
      <c r="A28" t="s">
        <v>7</v>
      </c>
      <c r="B28" t="s">
        <v>32</v>
      </c>
      <c r="C28" t="s">
        <v>34</v>
      </c>
      <c r="D28">
        <v>89</v>
      </c>
      <c r="F28" t="str">
        <v>East</v>
      </c>
      <c r="G28" t="str">
        <v>Tina Ray</v>
      </c>
      <c r="H28" t="str">
        <v>French</v>
      </c>
      <c r="I28">
        <v>85</v>
      </c>
      <c r="K28" t="str">
        <v>East</v>
      </c>
      <c r="L28" t="str">
        <v>Tina Ray</v>
      </c>
      <c r="N28" t="str">
        <v>Tina Ray</v>
      </c>
      <c r="O28" t="str">
        <v>French</v>
      </c>
      <c r="P28">
        <v>85</v>
      </c>
    </row>
    <row r="29" spans="1:16" x14ac:dyDescent="0.25">
      <c r="A29" t="s">
        <v>5</v>
      </c>
      <c r="B29" t="s">
        <v>33</v>
      </c>
      <c r="C29" t="s">
        <v>35</v>
      </c>
      <c r="D29">
        <v>90</v>
      </c>
      <c r="F29" t="str">
        <v>South</v>
      </c>
      <c r="G29" t="str">
        <v>Tomas Barnett</v>
      </c>
      <c r="H29" t="str">
        <v>Maths</v>
      </c>
      <c r="I29">
        <v>89</v>
      </c>
      <c r="K29" t="str">
        <v>South</v>
      </c>
      <c r="L29" t="str">
        <v>Tomas Barnett</v>
      </c>
      <c r="N29" t="str">
        <v>Tomas Barnett</v>
      </c>
      <c r="O29" t="str">
        <v>Maths</v>
      </c>
      <c r="P29">
        <v>89</v>
      </c>
    </row>
    <row r="30" spans="1:16" x14ac:dyDescent="0.25">
      <c r="A30" t="s">
        <v>38</v>
      </c>
      <c r="B30" t="s">
        <v>39</v>
      </c>
      <c r="C30" t="s">
        <v>35</v>
      </c>
      <c r="D30">
        <v>80</v>
      </c>
      <c r="F30" t="str">
        <v>East Wing</v>
      </c>
      <c r="G30" t="str">
        <v>Zenox</v>
      </c>
      <c r="H30" t="str">
        <v>English</v>
      </c>
      <c r="I30">
        <v>80</v>
      </c>
      <c r="K30" t="str">
        <v>East Wing</v>
      </c>
      <c r="L30" t="str">
        <v>Zenox</v>
      </c>
      <c r="N30" t="str">
        <v>Zenox</v>
      </c>
      <c r="O30" t="str">
        <v>English</v>
      </c>
      <c r="P30">
        <v>80</v>
      </c>
    </row>
  </sheetData>
  <mergeCells count="1">
    <mergeCell ref="A1:XFD1"/>
  </mergeCells>
  <phoneticPr fontId="3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87509-CB50-4417-8C06-5C5128A1FD6C}">
  <dimension ref="A1:L29"/>
  <sheetViews>
    <sheetView tabSelected="1" topLeftCell="K1" workbookViewId="0">
      <selection activeCell="R11" sqref="R11"/>
    </sheetView>
  </sheetViews>
  <sheetFormatPr defaultRowHeight="15" x14ac:dyDescent="0.25"/>
  <cols>
    <col min="1" max="1" width="10.140625" customWidth="1"/>
    <col min="2" max="2" width="19" customWidth="1"/>
    <col min="3" max="3" width="10.28515625" customWidth="1"/>
    <col min="6" max="6" width="12.85546875" customWidth="1"/>
    <col min="7" max="7" width="19.140625" customWidth="1"/>
    <col min="11" max="11" width="22.85546875" customWidth="1"/>
    <col min="12" max="12" width="9.42578125" customWidth="1"/>
  </cols>
  <sheetData>
    <row r="1" spans="1:12" s="2" customFormat="1" ht="33" customHeight="1" thickBot="1" x14ac:dyDescent="0.3">
      <c r="A1" s="2" t="s">
        <v>40</v>
      </c>
    </row>
    <row r="2" spans="1:12" ht="15.75" thickTop="1" x14ac:dyDescent="0.25"/>
    <row r="3" spans="1:12" x14ac:dyDescent="0.25">
      <c r="A3" s="1" t="s">
        <v>1</v>
      </c>
      <c r="B3" s="1" t="s">
        <v>2</v>
      </c>
      <c r="C3" s="1" t="s">
        <v>3</v>
      </c>
      <c r="D3" s="1" t="s">
        <v>4</v>
      </c>
      <c r="F3" s="1" t="s">
        <v>1</v>
      </c>
      <c r="G3" s="1" t="s">
        <v>2</v>
      </c>
      <c r="H3" s="1" t="s">
        <v>3</v>
      </c>
      <c r="I3" s="1" t="s">
        <v>4</v>
      </c>
      <c r="K3" s="1" t="s">
        <v>2</v>
      </c>
      <c r="L3" s="1" t="s">
        <v>3</v>
      </c>
    </row>
    <row r="4" spans="1:12" x14ac:dyDescent="0.25">
      <c r="A4" t="s">
        <v>5</v>
      </c>
      <c r="B4" t="s">
        <v>9</v>
      </c>
      <c r="C4" t="s">
        <v>34</v>
      </c>
      <c r="D4">
        <v>60</v>
      </c>
      <c r="F4" t="str" cm="1">
        <f t="array" ref="F4:I29">_xlfn.SORTBY(Table13[],Table13[Mark],-1,Table13[Block],1,Table13[Student],1)</f>
        <v>East</v>
      </c>
      <c r="G4" t="str">
        <v>Olivia Green</v>
      </c>
      <c r="H4" t="str">
        <v>French</v>
      </c>
      <c r="I4">
        <v>100</v>
      </c>
      <c r="K4" t="str" cm="1">
        <f t="array" ref="K4:L29">_xlfn.SORTBY(Table13[[Student]:[Exam]],Table13[Student],1)</f>
        <v>Abel Ballard</v>
      </c>
      <c r="L4" t="str">
        <v>Maths</v>
      </c>
    </row>
    <row r="5" spans="1:12" x14ac:dyDescent="0.25">
      <c r="A5" t="s">
        <v>6</v>
      </c>
      <c r="B5" t="s">
        <v>10</v>
      </c>
      <c r="C5" t="s">
        <v>35</v>
      </c>
      <c r="D5">
        <v>25</v>
      </c>
      <c r="F5" t="str">
        <v>South</v>
      </c>
      <c r="G5" t="str">
        <v>Ashley Grahm</v>
      </c>
      <c r="H5" t="str">
        <v>History</v>
      </c>
      <c r="I5">
        <v>100</v>
      </c>
      <c r="K5" t="str">
        <v>Ada Wang</v>
      </c>
      <c r="L5" t="str">
        <v>History</v>
      </c>
    </row>
    <row r="6" spans="1:12" x14ac:dyDescent="0.25">
      <c r="A6" t="s">
        <v>7</v>
      </c>
      <c r="B6" t="s">
        <v>11</v>
      </c>
      <c r="C6" t="s">
        <v>36</v>
      </c>
      <c r="D6">
        <v>40</v>
      </c>
      <c r="F6" t="str">
        <v>West</v>
      </c>
      <c r="G6" t="str">
        <v>Lucy Matthews</v>
      </c>
      <c r="H6" t="str">
        <v>English</v>
      </c>
      <c r="I6">
        <v>99</v>
      </c>
      <c r="K6" t="str">
        <v>Adam Lacey</v>
      </c>
      <c r="L6" t="str">
        <v>French</v>
      </c>
    </row>
    <row r="7" spans="1:12" x14ac:dyDescent="0.25">
      <c r="A7" t="s">
        <v>6</v>
      </c>
      <c r="B7" t="s">
        <v>12</v>
      </c>
      <c r="C7" t="s">
        <v>36</v>
      </c>
      <c r="D7">
        <v>80</v>
      </c>
      <c r="F7" t="str">
        <v>South</v>
      </c>
      <c r="G7" t="str">
        <v>Kurt Webster</v>
      </c>
      <c r="H7" t="str">
        <v>English</v>
      </c>
      <c r="I7">
        <v>97</v>
      </c>
      <c r="K7" t="str">
        <v>Ashley Grahm</v>
      </c>
      <c r="L7" t="str">
        <v>History</v>
      </c>
    </row>
    <row r="8" spans="1:12" x14ac:dyDescent="0.25">
      <c r="A8" t="s">
        <v>5</v>
      </c>
      <c r="B8" t="s">
        <v>13</v>
      </c>
      <c r="C8" t="s">
        <v>36</v>
      </c>
      <c r="D8">
        <v>90</v>
      </c>
      <c r="F8" t="str">
        <v>West</v>
      </c>
      <c r="G8" t="str">
        <v>Henrietta Ramsey</v>
      </c>
      <c r="H8" t="str">
        <v>English</v>
      </c>
      <c r="I8">
        <v>90</v>
      </c>
      <c r="K8" t="str">
        <v>Ben Lee</v>
      </c>
      <c r="L8" t="str">
        <v>French</v>
      </c>
    </row>
    <row r="9" spans="1:12" x14ac:dyDescent="0.25">
      <c r="A9" t="s">
        <v>8</v>
      </c>
      <c r="B9" t="s">
        <v>14</v>
      </c>
      <c r="C9" t="s">
        <v>36</v>
      </c>
      <c r="D9">
        <v>100</v>
      </c>
      <c r="F9" t="str">
        <v>West</v>
      </c>
      <c r="G9" t="str">
        <v>Sarah Jones</v>
      </c>
      <c r="H9" t="str">
        <v>French</v>
      </c>
      <c r="I9">
        <v>90</v>
      </c>
      <c r="K9" t="str">
        <v>Chloe Newbury</v>
      </c>
      <c r="L9" t="str">
        <v>English</v>
      </c>
    </row>
    <row r="10" spans="1:12" x14ac:dyDescent="0.25">
      <c r="A10" t="s">
        <v>7</v>
      </c>
      <c r="B10" t="s">
        <v>15</v>
      </c>
      <c r="C10" t="s">
        <v>35</v>
      </c>
      <c r="D10">
        <v>35</v>
      </c>
      <c r="F10" t="str">
        <v>South</v>
      </c>
      <c r="G10" t="str">
        <v>Tomas Barnett</v>
      </c>
      <c r="H10" t="str">
        <v>Maths</v>
      </c>
      <c r="I10">
        <v>89</v>
      </c>
      <c r="K10" t="str">
        <v>David Patterson</v>
      </c>
      <c r="L10" t="str">
        <v>English</v>
      </c>
    </row>
    <row r="11" spans="1:12" x14ac:dyDescent="0.25">
      <c r="A11" t="s">
        <v>8</v>
      </c>
      <c r="B11" t="s">
        <v>16</v>
      </c>
      <c r="C11" t="s">
        <v>35</v>
      </c>
      <c r="D11">
        <v>64</v>
      </c>
      <c r="F11" t="str">
        <v>South</v>
      </c>
      <c r="G11" t="str">
        <v>Mrtin Waters</v>
      </c>
      <c r="H11" t="str">
        <v>Maths</v>
      </c>
      <c r="I11">
        <v>87</v>
      </c>
      <c r="K11" t="str">
        <v>Deborah Ashby</v>
      </c>
      <c r="L11" t="str">
        <v>English</v>
      </c>
    </row>
    <row r="12" spans="1:12" x14ac:dyDescent="0.25">
      <c r="A12" t="s">
        <v>5</v>
      </c>
      <c r="B12" t="s">
        <v>17</v>
      </c>
      <c r="C12" t="s">
        <v>35</v>
      </c>
      <c r="D12">
        <v>73</v>
      </c>
      <c r="F12" t="str">
        <v>East</v>
      </c>
      <c r="G12" t="str">
        <v>Tina Ray</v>
      </c>
      <c r="H12" t="str">
        <v>French</v>
      </c>
      <c r="I12">
        <v>85</v>
      </c>
      <c r="K12" t="str">
        <v>Gretchen Williams</v>
      </c>
      <c r="L12" t="str">
        <v>French</v>
      </c>
    </row>
    <row r="13" spans="1:12" x14ac:dyDescent="0.25">
      <c r="A13" t="s">
        <v>7</v>
      </c>
      <c r="B13" t="s">
        <v>18</v>
      </c>
      <c r="C13" t="s">
        <v>34</v>
      </c>
      <c r="D13">
        <v>87</v>
      </c>
      <c r="F13" t="str">
        <v>East Wing</v>
      </c>
      <c r="G13" t="str">
        <v>Zenox</v>
      </c>
      <c r="H13" t="str">
        <v>English</v>
      </c>
      <c r="I13">
        <v>80</v>
      </c>
      <c r="K13" t="str">
        <v>Henrietta Ramsey</v>
      </c>
      <c r="L13" t="str">
        <v>English</v>
      </c>
    </row>
    <row r="14" spans="1:12" x14ac:dyDescent="0.25">
      <c r="A14" t="s">
        <v>6</v>
      </c>
      <c r="B14" t="s">
        <v>19</v>
      </c>
      <c r="C14" t="s">
        <v>34</v>
      </c>
      <c r="D14">
        <v>28</v>
      </c>
      <c r="F14" t="str">
        <v>North</v>
      </c>
      <c r="G14" t="str">
        <v>Ben Lee</v>
      </c>
      <c r="H14" t="str">
        <v>French</v>
      </c>
      <c r="I14">
        <v>80</v>
      </c>
      <c r="K14" t="str">
        <v>Jordan Rodgers</v>
      </c>
      <c r="L14" t="str">
        <v>French</v>
      </c>
    </row>
    <row r="15" spans="1:12" x14ac:dyDescent="0.25">
      <c r="A15" t="s">
        <v>7</v>
      </c>
      <c r="B15" t="s">
        <v>20</v>
      </c>
      <c r="C15" t="s">
        <v>35</v>
      </c>
      <c r="D15">
        <v>97</v>
      </c>
      <c r="F15" t="str">
        <v>West</v>
      </c>
      <c r="G15" t="str">
        <v>Jorge Waters</v>
      </c>
      <c r="H15" t="str">
        <v>French</v>
      </c>
      <c r="I15">
        <v>78</v>
      </c>
      <c r="K15" t="str">
        <v>Jorge Waters</v>
      </c>
      <c r="L15" t="str">
        <v>French</v>
      </c>
    </row>
    <row r="16" spans="1:12" x14ac:dyDescent="0.25">
      <c r="A16" t="s">
        <v>5</v>
      </c>
      <c r="B16" t="s">
        <v>21</v>
      </c>
      <c r="C16" t="s">
        <v>35</v>
      </c>
      <c r="D16">
        <v>99</v>
      </c>
      <c r="F16" t="str">
        <v>South</v>
      </c>
      <c r="G16" t="str">
        <v>Ada Wang</v>
      </c>
      <c r="H16" t="str">
        <v>History</v>
      </c>
      <c r="I16">
        <v>77</v>
      </c>
      <c r="K16" t="str">
        <v>Julie Tavistock</v>
      </c>
      <c r="L16" t="str">
        <v>Maths</v>
      </c>
    </row>
    <row r="17" spans="1:12" x14ac:dyDescent="0.25">
      <c r="A17" t="s">
        <v>8</v>
      </c>
      <c r="B17" t="s">
        <v>22</v>
      </c>
      <c r="C17" t="s">
        <v>37</v>
      </c>
      <c r="D17">
        <v>58</v>
      </c>
      <c r="F17" t="str">
        <v>East</v>
      </c>
      <c r="G17" t="str">
        <v>Gretchen Williams</v>
      </c>
      <c r="H17" t="str">
        <v>French</v>
      </c>
      <c r="I17">
        <v>76</v>
      </c>
      <c r="K17" t="str">
        <v>Kurt Webster</v>
      </c>
      <c r="L17" t="str">
        <v>English</v>
      </c>
    </row>
    <row r="18" spans="1:12" x14ac:dyDescent="0.25">
      <c r="A18" t="s">
        <v>8</v>
      </c>
      <c r="B18" t="s">
        <v>23</v>
      </c>
      <c r="C18" t="s">
        <v>36</v>
      </c>
      <c r="D18">
        <v>46</v>
      </c>
      <c r="F18" t="str">
        <v>North</v>
      </c>
      <c r="G18" t="str">
        <v>Abel Ballard</v>
      </c>
      <c r="H18" t="str">
        <v>Maths</v>
      </c>
      <c r="I18">
        <v>75</v>
      </c>
      <c r="K18" t="str">
        <v>Leon Kenedy</v>
      </c>
      <c r="L18" t="str">
        <v>Maths</v>
      </c>
    </row>
    <row r="19" spans="1:12" x14ac:dyDescent="0.25">
      <c r="A19" t="s">
        <v>5</v>
      </c>
      <c r="B19" t="s">
        <v>24</v>
      </c>
      <c r="C19" t="s">
        <v>36</v>
      </c>
      <c r="D19">
        <v>78</v>
      </c>
      <c r="F19" t="str">
        <v>West</v>
      </c>
      <c r="G19" t="str">
        <v>Chloe Newbury</v>
      </c>
      <c r="H19" t="str">
        <v>English</v>
      </c>
      <c r="I19">
        <v>73</v>
      </c>
      <c r="K19" t="str">
        <v>Lucy Matthews</v>
      </c>
      <c r="L19" t="str">
        <v>English</v>
      </c>
    </row>
    <row r="20" spans="1:12" x14ac:dyDescent="0.25">
      <c r="A20" t="s">
        <v>7</v>
      </c>
      <c r="B20" t="s">
        <v>25</v>
      </c>
      <c r="C20" t="s">
        <v>37</v>
      </c>
      <c r="D20">
        <v>77</v>
      </c>
      <c r="F20" t="str">
        <v>East</v>
      </c>
      <c r="G20" t="str">
        <v>David Patterson</v>
      </c>
      <c r="H20" t="str">
        <v>English</v>
      </c>
      <c r="I20">
        <v>64</v>
      </c>
      <c r="K20" t="str">
        <v>Ming Sia</v>
      </c>
      <c r="L20" t="str">
        <v>English</v>
      </c>
    </row>
    <row r="21" spans="1:12" x14ac:dyDescent="0.25">
      <c r="A21" t="s">
        <v>7</v>
      </c>
      <c r="B21" t="s">
        <v>26</v>
      </c>
      <c r="C21" t="s">
        <v>37</v>
      </c>
      <c r="D21">
        <v>100</v>
      </c>
      <c r="F21" t="str">
        <v>West</v>
      </c>
      <c r="G21" t="str">
        <v>Leon Kenedy</v>
      </c>
      <c r="H21" t="str">
        <v>Maths</v>
      </c>
      <c r="I21">
        <v>60</v>
      </c>
      <c r="K21" t="str">
        <v>Mrtin Waters</v>
      </c>
      <c r="L21" t="str">
        <v>Maths</v>
      </c>
    </row>
    <row r="22" spans="1:12" x14ac:dyDescent="0.25">
      <c r="A22" t="s">
        <v>7</v>
      </c>
      <c r="B22" t="s">
        <v>27</v>
      </c>
      <c r="C22" t="s">
        <v>37</v>
      </c>
      <c r="D22">
        <v>45</v>
      </c>
      <c r="F22" t="str">
        <v>East</v>
      </c>
      <c r="G22" t="str">
        <v>Patric Barker</v>
      </c>
      <c r="H22" t="str">
        <v>History</v>
      </c>
      <c r="I22">
        <v>58</v>
      </c>
      <c r="K22" t="str">
        <v>Olivia Green</v>
      </c>
      <c r="L22" t="str">
        <v>French</v>
      </c>
    </row>
    <row r="23" spans="1:12" x14ac:dyDescent="0.25">
      <c r="A23" t="s">
        <v>8</v>
      </c>
      <c r="B23" t="s">
        <v>28</v>
      </c>
      <c r="C23" t="s">
        <v>36</v>
      </c>
      <c r="D23">
        <v>85</v>
      </c>
      <c r="F23" t="str">
        <v>East</v>
      </c>
      <c r="G23" t="str">
        <v>Terry Abbott</v>
      </c>
      <c r="H23" t="str">
        <v>French</v>
      </c>
      <c r="I23">
        <v>46</v>
      </c>
      <c r="K23" t="str">
        <v>Patric Barker</v>
      </c>
      <c r="L23" t="str">
        <v>History</v>
      </c>
    </row>
    <row r="24" spans="1:12" x14ac:dyDescent="0.25">
      <c r="A24" t="s">
        <v>6</v>
      </c>
      <c r="B24" t="s">
        <v>29</v>
      </c>
      <c r="C24" t="s">
        <v>34</v>
      </c>
      <c r="D24">
        <v>75</v>
      </c>
      <c r="F24" t="str">
        <v>South</v>
      </c>
      <c r="G24" t="str">
        <v>Pedro Costa</v>
      </c>
      <c r="H24" t="str">
        <v>History</v>
      </c>
      <c r="I24">
        <v>45</v>
      </c>
      <c r="K24" t="str">
        <v>Pedro Costa</v>
      </c>
      <c r="L24" t="str">
        <v>History</v>
      </c>
    </row>
    <row r="25" spans="1:12" x14ac:dyDescent="0.25">
      <c r="A25" t="s">
        <v>8</v>
      </c>
      <c r="B25" t="s">
        <v>30</v>
      </c>
      <c r="C25" t="s">
        <v>36</v>
      </c>
      <c r="D25">
        <v>76</v>
      </c>
      <c r="F25" t="str">
        <v>South</v>
      </c>
      <c r="G25" t="str">
        <v>Adam Lacey</v>
      </c>
      <c r="H25" t="str">
        <v>French</v>
      </c>
      <c r="I25">
        <v>40</v>
      </c>
      <c r="K25" t="str">
        <v>Sarah Jones</v>
      </c>
      <c r="L25" t="str">
        <v>French</v>
      </c>
    </row>
    <row r="26" spans="1:12" x14ac:dyDescent="0.25">
      <c r="A26" t="s">
        <v>7</v>
      </c>
      <c r="B26" t="s">
        <v>31</v>
      </c>
      <c r="C26" t="s">
        <v>36</v>
      </c>
      <c r="D26">
        <v>38</v>
      </c>
      <c r="F26" t="str">
        <v>South</v>
      </c>
      <c r="G26" t="str">
        <v>Jordan Rodgers</v>
      </c>
      <c r="H26" t="str">
        <v>French</v>
      </c>
      <c r="I26">
        <v>38</v>
      </c>
      <c r="K26" t="str">
        <v>Terry Abbott</v>
      </c>
      <c r="L26" t="str">
        <v>French</v>
      </c>
    </row>
    <row r="27" spans="1:12" x14ac:dyDescent="0.25">
      <c r="A27" t="s">
        <v>7</v>
      </c>
      <c r="B27" t="s">
        <v>32</v>
      </c>
      <c r="C27" t="s">
        <v>34</v>
      </c>
      <c r="D27">
        <v>89</v>
      </c>
      <c r="F27" t="str">
        <v>South</v>
      </c>
      <c r="G27" t="str">
        <v>Ming Sia</v>
      </c>
      <c r="H27" t="str">
        <v>English</v>
      </c>
      <c r="I27">
        <v>35</v>
      </c>
      <c r="K27" t="str">
        <v>Tina Ray</v>
      </c>
      <c r="L27" t="str">
        <v>French</v>
      </c>
    </row>
    <row r="28" spans="1:12" x14ac:dyDescent="0.25">
      <c r="A28" t="s">
        <v>5</v>
      </c>
      <c r="B28" t="s">
        <v>33</v>
      </c>
      <c r="C28" t="s">
        <v>35</v>
      </c>
      <c r="D28">
        <v>90</v>
      </c>
      <c r="F28" t="str">
        <v>North</v>
      </c>
      <c r="G28" t="str">
        <v>Julie Tavistock</v>
      </c>
      <c r="H28" t="str">
        <v>Maths</v>
      </c>
      <c r="I28">
        <v>28</v>
      </c>
      <c r="K28" t="str">
        <v>Tomas Barnett</v>
      </c>
      <c r="L28" t="str">
        <v>Maths</v>
      </c>
    </row>
    <row r="29" spans="1:12" x14ac:dyDescent="0.25">
      <c r="A29" t="s">
        <v>38</v>
      </c>
      <c r="B29" t="s">
        <v>39</v>
      </c>
      <c r="C29" t="s">
        <v>35</v>
      </c>
      <c r="D29">
        <v>80</v>
      </c>
      <c r="F29" t="str">
        <v>North</v>
      </c>
      <c r="G29" t="str">
        <v>Deborah Ashby</v>
      </c>
      <c r="H29" t="str">
        <v>English</v>
      </c>
      <c r="I29">
        <v>25</v>
      </c>
      <c r="K29" t="str">
        <v>Zenox</v>
      </c>
      <c r="L29" t="str">
        <v>English</v>
      </c>
    </row>
  </sheetData>
  <mergeCells count="1">
    <mergeCell ref="A1:XFD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SORT_Function</vt:lpstr>
      <vt:lpstr>SORTBY_Function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Work</cp:lastModifiedBy>
  <dcterms:created xsi:type="dcterms:W3CDTF">2015-06-05T18:17:20Z</dcterms:created>
  <dcterms:modified xsi:type="dcterms:W3CDTF">2026-10-02T12:36:38Z</dcterms:modified>
</cp:coreProperties>
</file>