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2E9CAF70-AE42-4805-A489-BB6DC6DDF1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ic Logic" sheetId="1" r:id="rId1"/>
    <sheet name="Log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D34" i="2"/>
  <c r="D35" i="2"/>
  <c r="D36" i="2"/>
  <c r="D32" i="2"/>
  <c r="D24" i="2"/>
  <c r="D25" i="2"/>
  <c r="D26" i="2"/>
  <c r="D27" i="2"/>
  <c r="D23" i="2"/>
  <c r="D15" i="2"/>
  <c r="D16" i="2"/>
  <c r="D17" i="2"/>
  <c r="D18" i="2"/>
  <c r="D14" i="2"/>
  <c r="C5" i="2"/>
  <c r="C6" i="2"/>
  <c r="C7" i="2"/>
  <c r="C8" i="2"/>
  <c r="C9" i="2"/>
  <c r="C4" i="2"/>
  <c r="C6" i="1"/>
  <c r="C7" i="1"/>
  <c r="C8" i="1"/>
  <c r="C9" i="1"/>
  <c r="C10" i="1"/>
  <c r="C11" i="1"/>
  <c r="C5" i="1"/>
</calcChain>
</file>

<file path=xl/sharedStrings.xml><?xml version="1.0" encoding="utf-8"?>
<sst xmlns="http://schemas.openxmlformats.org/spreadsheetml/2006/main" count="75" uniqueCount="60">
  <si>
    <t>Logical Statements</t>
  </si>
  <si>
    <t>EXPENSES</t>
  </si>
  <si>
    <t>Expenses over the following amount MUST be approved</t>
  </si>
  <si>
    <t xml:space="preserve">Threshold: </t>
  </si>
  <si>
    <t>Name</t>
  </si>
  <si>
    <t xml:space="preserve">Total </t>
  </si>
  <si>
    <t>Approval Required?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</si>
  <si>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</si>
  <si>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</si>
  <si>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</si>
  <si>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</si>
  <si>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</si>
  <si>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</si>
  <si>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</si>
  <si>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Condition</t>
  </si>
  <si>
    <t>Operator</t>
  </si>
  <si>
    <t xml:space="preserve">Equal to </t>
  </si>
  <si>
    <t>Greater than</t>
  </si>
  <si>
    <t>Less than</t>
  </si>
  <si>
    <t xml:space="preserve">Greater than or equal to </t>
  </si>
  <si>
    <t xml:space="preserve">Less than or equal to </t>
  </si>
  <si>
    <t xml:space="preserve">Not equal to </t>
  </si>
  <si>
    <t>=</t>
  </si>
  <si>
    <t>&gt;</t>
  </si>
  <si>
    <t>&lt;</t>
  </si>
  <si>
    <t>&gt;=</t>
  </si>
  <si>
    <t>&lt;=</t>
  </si>
  <si>
    <t>&lt;&gt;</t>
  </si>
  <si>
    <t>IF - Example 1</t>
  </si>
  <si>
    <t>Score</t>
  </si>
  <si>
    <t>Result</t>
  </si>
  <si>
    <t>Pass Mark</t>
  </si>
  <si>
    <t>Debora</t>
  </si>
  <si>
    <t>Adam</t>
  </si>
  <si>
    <t>Brooke</t>
  </si>
  <si>
    <t>James</t>
  </si>
  <si>
    <t>Rob</t>
  </si>
  <si>
    <t>Kata</t>
  </si>
  <si>
    <t>IF - Example 2</t>
  </si>
  <si>
    <t>Product</t>
  </si>
  <si>
    <t>Weight (kgs)</t>
  </si>
  <si>
    <t>Price</t>
  </si>
  <si>
    <t>Shipping Fee</t>
  </si>
  <si>
    <t>Office Chair</t>
  </si>
  <si>
    <t>Oak Desk</t>
  </si>
  <si>
    <t>Storage Unit</t>
  </si>
  <si>
    <t>Filing Cabinet</t>
  </si>
  <si>
    <t>PC</t>
  </si>
  <si>
    <t>AND</t>
  </si>
  <si>
    <t>Score 1</t>
  </si>
  <si>
    <t>Score 2</t>
  </si>
  <si>
    <t>Claire</t>
  </si>
  <si>
    <t>Julie</t>
  </si>
  <si>
    <t>Max</t>
  </si>
  <si>
    <t>Ben</t>
  </si>
  <si>
    <t>Courtney</t>
  </si>
  <si>
    <t>Weight</t>
  </si>
  <si>
    <t>Test 1</t>
  </si>
  <si>
    <t>Test 2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</si>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</sst>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4">
    <xf numFmtId="0" fontId="0" fillId="0" borderId="0" xfId="0"/>
    <xf numFmtId="0" fontId="1" fillId="0" borderId="1" xfId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44" fontId="0" fillId="0" borderId="0" xfId="0" applyNumberFormat="1"/>
    <xf numFmtId="0" fontId="3" fillId="0" borderId="0" xfId="0" applyFont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4" xfId="0" applyFont="1" applyBorder="1" applyAlignment="1">
      <alignment horizontal="center" vertical="center"/>
    </xf>
    <xf numFmtId="9" fontId="0" fillId="0" borderId="0" xfId="0" applyNumberFormat="1"/>
    <xf numFmtId="0" fontId="2" fillId="2" borderId="2" xfId="2" applyFill="1" applyAlignment="1">
      <alignment horizontal="left" vertical="center"/>
    </xf>
    <xf numFmtId="0" fontId="3" fillId="0" borderId="5" xfId="0" applyFont="1" applyBorder="1"/>
    <xf numFmtId="0" fontId="0" fillId="0" borderId="5" xfId="0" applyBorder="1"/>
    <xf numFmtId="44" fontId="0" fillId="0" borderId="5" xfId="0" applyNumberFormat="1" applyBorder="1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8</xdr:row>
      <xdr:rowOff>57150</xdr:rowOff>
    </xdr:from>
    <xdr:to>
      <xdr:col>11</xdr:col>
      <xdr:colOff>333375</xdr:colOff>
      <xdr:row>17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25703E-0C09-F7F9-1998-D1C09B57A353}"/>
            </a:ext>
          </a:extLst>
        </xdr:cNvPr>
        <xdr:cNvSpPr txBox="1"/>
      </xdr:nvSpPr>
      <xdr:spPr>
        <a:xfrm>
          <a:off x="6962775" y="1752600"/>
          <a:ext cx="1924050" cy="18383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Logical functions:</a:t>
          </a:r>
        </a:p>
        <a:p>
          <a:r>
            <a:rPr lang="en-US" sz="1100"/>
            <a:t>*</a:t>
          </a:r>
          <a:r>
            <a:rPr lang="en-US" sz="1100" baseline="0"/>
            <a:t> Formulas Tab &gt; Function Library Group &gt; Logical</a:t>
          </a:r>
        </a:p>
        <a:p>
          <a:endParaRPr lang="en-US" sz="1100" baseline="0"/>
        </a:p>
        <a:p>
          <a:r>
            <a:rPr lang="en-US" sz="1100" baseline="0"/>
            <a:t>2. IF ()</a:t>
          </a:r>
        </a:p>
        <a:p>
          <a:r>
            <a:rPr lang="en-US" sz="1100" baseline="0"/>
            <a:t>* IF (condition, value if true, value if false)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5" sqref="C5:C11"/>
    </sheetView>
  </sheetViews>
  <sheetFormatPr defaultRowHeight="15" x14ac:dyDescent="0.25"/>
  <cols>
    <col min="1" max="1" width="22.7109375" customWidth="1"/>
    <col min="2" max="2" width="12.140625" customWidth="1"/>
    <col min="3" max="3" width="18.85546875" bestFit="1" customWidth="1"/>
    <col min="4" max="4" width="6.42578125" customWidth="1"/>
    <col min="5" max="5" width="4.5703125" customWidth="1"/>
    <col min="6" max="6" width="17" customWidth="1"/>
    <col min="7" max="7" width="10.5703125" bestFit="1" customWidth="1"/>
    <col min="13" max="13" width="23" bestFit="1" customWidth="1"/>
    <col min="14" max="14" width="12.28515625" customWidth="1"/>
  </cols>
  <sheetData>
    <row r="1" spans="1:14" s="1" customFormat="1" ht="22.5" customHeight="1" thickBot="1" x14ac:dyDescent="0.3">
      <c r="A1" s="1" t="s">
        <v>0</v>
      </c>
    </row>
    <row r="2" spans="1:14" ht="16.5" thickTop="1" thickBot="1" x14ac:dyDescent="0.3"/>
    <row r="3" spans="1:14" ht="15.75" thickBot="1" x14ac:dyDescent="0.3">
      <c r="A3" s="2" t="s">
        <v>1</v>
      </c>
      <c r="B3" s="2"/>
      <c r="C3" s="2"/>
      <c r="F3" s="3" t="s">
        <v>2</v>
      </c>
      <c r="G3" s="3"/>
      <c r="H3" s="3"/>
      <c r="I3" s="3"/>
      <c r="J3" s="3"/>
      <c r="K3" s="3"/>
      <c r="M3" s="8" t="s">
        <v>14</v>
      </c>
      <c r="N3" s="8" t="s">
        <v>15</v>
      </c>
    </row>
    <row r="4" spans="1:14" ht="15.75" thickBot="1" x14ac:dyDescent="0.3">
      <c r="A4" s="5" t="s">
        <v>4</v>
      </c>
      <c r="B4" s="5" t="s">
        <v>5</v>
      </c>
      <c r="C4" s="5" t="s">
        <v>6</v>
      </c>
      <c r="M4" s="7" t="s">
        <v>16</v>
      </c>
      <c r="N4" s="6" t="s">
        <v>22</v>
      </c>
    </row>
    <row r="5" spans="1:14" ht="15.75" thickBot="1" x14ac:dyDescent="0.3">
      <c r="A5" t="s">
        <v>7</v>
      </c>
      <c r="B5" s="4">
        <v>800</v>
      </c>
      <c r="C5" t="str">
        <f>IF(B5&gt;=$G$5, "Approval", "Ok")</f>
        <v>Ok</v>
      </c>
      <c r="F5" t="s">
        <v>3</v>
      </c>
      <c r="G5" s="4">
        <v>1000</v>
      </c>
      <c r="M5" s="7" t="s">
        <v>17</v>
      </c>
      <c r="N5" s="6" t="s">
        <v>23</v>
      </c>
    </row>
    <row r="6" spans="1:14" ht="15.75" thickBot="1" x14ac:dyDescent="0.3">
      <c r="A6" t="s">
        <v>8</v>
      </c>
      <c r="B6" s="4">
        <v>1200</v>
      </c>
      <c r="C6" t="str">
        <f t="shared" ref="C6:C11" si="0">IF(B6&gt;=$G$5, "Approval", "Ok")</f>
        <v>Approval</v>
      </c>
      <c r="M6" s="7" t="s">
        <v>18</v>
      </c>
      <c r="N6" s="6" t="s">
        <v>24</v>
      </c>
    </row>
    <row r="7" spans="1:14" ht="15.75" thickBot="1" x14ac:dyDescent="0.3">
      <c r="A7" t="s">
        <v>9</v>
      </c>
      <c r="B7" s="4">
        <v>1000</v>
      </c>
      <c r="C7" t="str">
        <f t="shared" si="0"/>
        <v>Approval</v>
      </c>
      <c r="M7" s="7" t="s">
        <v>19</v>
      </c>
      <c r="N7" s="6" t="s">
        <v>25</v>
      </c>
    </row>
    <row r="8" spans="1:14" ht="15.75" thickBot="1" x14ac:dyDescent="0.3">
      <c r="A8" t="s">
        <v>10</v>
      </c>
      <c r="B8" s="4">
        <v>750</v>
      </c>
      <c r="C8" t="str">
        <f t="shared" si="0"/>
        <v>Ok</v>
      </c>
      <c r="M8" s="7" t="s">
        <v>20</v>
      </c>
      <c r="N8" s="6" t="s">
        <v>26</v>
      </c>
    </row>
    <row r="9" spans="1:14" ht="15.75" thickBot="1" x14ac:dyDescent="0.3">
      <c r="A9" t="s">
        <v>11</v>
      </c>
      <c r="B9" s="4">
        <v>500</v>
      </c>
      <c r="C9" t="str">
        <f t="shared" si="0"/>
        <v>Ok</v>
      </c>
      <c r="M9" s="7" t="s">
        <v>21</v>
      </c>
      <c r="N9" s="6" t="s">
        <v>27</v>
      </c>
    </row>
    <row r="10" spans="1:14" x14ac:dyDescent="0.25">
      <c r="A10" t="s">
        <v>12</v>
      </c>
      <c r="B10" s="4">
        <v>800</v>
      </c>
      <c r="C10" t="str">
        <f t="shared" si="0"/>
        <v>Ok</v>
      </c>
    </row>
    <row r="11" spans="1:14" x14ac:dyDescent="0.25">
      <c r="A11" t="s">
        <v>13</v>
      </c>
      <c r="B11" s="4">
        <v>1300</v>
      </c>
      <c r="C11" t="str">
        <f t="shared" si="0"/>
        <v>Approval</v>
      </c>
    </row>
  </sheetData>
  <mergeCells count="3">
    <mergeCell ref="A1:XFD1"/>
    <mergeCell ref="A3:C3"/>
    <mergeCell ref="F3:K3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CA0F-548E-421A-BA96-A0A013BB0138}">
  <dimension ref="A1:H36"/>
  <sheetViews>
    <sheetView topLeftCell="A16" zoomScaleNormal="100" workbookViewId="0">
      <selection activeCell="D26" sqref="D26"/>
    </sheetView>
  </sheetViews>
  <sheetFormatPr defaultRowHeight="15" x14ac:dyDescent="0.25"/>
  <cols>
    <col min="1" max="1" width="13.28515625" bestFit="1" customWidth="1"/>
    <col min="2" max="2" width="12.28515625" bestFit="1" customWidth="1"/>
    <col min="3" max="3" width="13.85546875" customWidth="1"/>
    <col min="4" max="4" width="12.42578125" bestFit="1" customWidth="1"/>
    <col min="7" max="7" width="12.42578125" bestFit="1" customWidth="1"/>
    <col min="8" max="8" width="4.5703125" bestFit="1" customWidth="1"/>
  </cols>
  <sheetData>
    <row r="1" spans="1:8" s="10" customFormat="1" ht="18" thickBot="1" x14ac:dyDescent="0.3">
      <c r="A1" s="10" t="s">
        <v>28</v>
      </c>
    </row>
    <row r="2" spans="1:8" ht="15.75" thickTop="1" x14ac:dyDescent="0.25"/>
    <row r="3" spans="1:8" x14ac:dyDescent="0.25">
      <c r="A3" s="11" t="s">
        <v>4</v>
      </c>
      <c r="B3" s="11" t="s">
        <v>29</v>
      </c>
      <c r="C3" s="11" t="s">
        <v>30</v>
      </c>
      <c r="G3" s="5" t="s">
        <v>31</v>
      </c>
      <c r="H3">
        <v>85</v>
      </c>
    </row>
    <row r="4" spans="1:8" x14ac:dyDescent="0.25">
      <c r="A4" s="12" t="s">
        <v>32</v>
      </c>
      <c r="B4" s="12">
        <v>93</v>
      </c>
      <c r="C4" s="12" t="str">
        <f>IF(B4 &gt;= $H$3, "Pass", "Fail")</f>
        <v>Pass</v>
      </c>
    </row>
    <row r="5" spans="1:8" x14ac:dyDescent="0.25">
      <c r="A5" s="12" t="s">
        <v>33</v>
      </c>
      <c r="B5" s="12">
        <v>65</v>
      </c>
      <c r="C5" s="12" t="str">
        <f t="shared" ref="C5:C9" si="0">IF(B5 &gt;= $H$3, "Pass", "Fail")</f>
        <v>Fail</v>
      </c>
    </row>
    <row r="6" spans="1:8" x14ac:dyDescent="0.25">
      <c r="A6" s="12" t="s">
        <v>34</v>
      </c>
      <c r="B6" s="12">
        <v>85</v>
      </c>
      <c r="C6" s="12" t="str">
        <f t="shared" si="0"/>
        <v>Pass</v>
      </c>
    </row>
    <row r="7" spans="1:8" x14ac:dyDescent="0.25">
      <c r="A7" s="12" t="s">
        <v>35</v>
      </c>
      <c r="B7" s="12">
        <v>79</v>
      </c>
      <c r="C7" s="12" t="str">
        <f t="shared" si="0"/>
        <v>Fail</v>
      </c>
    </row>
    <row r="8" spans="1:8" x14ac:dyDescent="0.25">
      <c r="A8" s="12" t="s">
        <v>36</v>
      </c>
      <c r="B8" s="12">
        <v>90</v>
      </c>
      <c r="C8" s="12" t="str">
        <f t="shared" si="0"/>
        <v>Pass</v>
      </c>
    </row>
    <row r="9" spans="1:8" x14ac:dyDescent="0.25">
      <c r="A9" s="12" t="s">
        <v>37</v>
      </c>
      <c r="B9" s="12">
        <v>60</v>
      </c>
      <c r="C9" s="12" t="str">
        <f t="shared" si="0"/>
        <v>Fail</v>
      </c>
    </row>
    <row r="11" spans="1:8" s="10" customFormat="1" ht="18" thickBot="1" x14ac:dyDescent="0.3">
      <c r="A11" s="10" t="s">
        <v>38</v>
      </c>
    </row>
    <row r="12" spans="1:8" ht="15.75" thickTop="1" x14ac:dyDescent="0.25"/>
    <row r="13" spans="1:8" x14ac:dyDescent="0.25">
      <c r="A13" s="11" t="s">
        <v>39</v>
      </c>
      <c r="B13" s="11" t="s">
        <v>40</v>
      </c>
      <c r="C13" s="11" t="s">
        <v>41</v>
      </c>
      <c r="D13" s="11" t="s">
        <v>42</v>
      </c>
      <c r="G13" s="5" t="s">
        <v>56</v>
      </c>
      <c r="H13">
        <v>30</v>
      </c>
    </row>
    <row r="14" spans="1:8" x14ac:dyDescent="0.25">
      <c r="A14" s="12" t="s">
        <v>43</v>
      </c>
      <c r="B14" s="12">
        <v>25</v>
      </c>
      <c r="C14" s="13">
        <v>500</v>
      </c>
      <c r="D14" s="13">
        <f>IF(B14 &gt;= $H$13, C14*$H$14, 0)</f>
        <v>0</v>
      </c>
      <c r="G14" s="5" t="s">
        <v>42</v>
      </c>
      <c r="H14" s="9">
        <v>0.2</v>
      </c>
    </row>
    <row r="15" spans="1:8" x14ac:dyDescent="0.25">
      <c r="A15" s="12" t="s">
        <v>44</v>
      </c>
      <c r="B15" s="12">
        <v>50</v>
      </c>
      <c r="C15" s="13">
        <v>450</v>
      </c>
      <c r="D15" s="13">
        <f t="shared" ref="D15:D18" si="1">IF(B15 &gt;= $H$13, C15*$H$14, 0)</f>
        <v>90</v>
      </c>
    </row>
    <row r="16" spans="1:8" x14ac:dyDescent="0.25">
      <c r="A16" s="12" t="s">
        <v>45</v>
      </c>
      <c r="B16" s="12">
        <v>30</v>
      </c>
      <c r="C16" s="13">
        <v>250</v>
      </c>
      <c r="D16" s="13">
        <f t="shared" si="1"/>
        <v>50</v>
      </c>
    </row>
    <row r="17" spans="1:8" x14ac:dyDescent="0.25">
      <c r="A17" s="12" t="s">
        <v>46</v>
      </c>
      <c r="B17" s="12">
        <v>20</v>
      </c>
      <c r="C17" s="13">
        <v>175</v>
      </c>
      <c r="D17" s="13">
        <f t="shared" si="1"/>
        <v>0</v>
      </c>
    </row>
    <row r="18" spans="1:8" x14ac:dyDescent="0.25">
      <c r="A18" s="12" t="s">
        <v>47</v>
      </c>
      <c r="B18" s="12">
        <v>5</v>
      </c>
      <c r="C18" s="13">
        <v>600</v>
      </c>
      <c r="D18" s="13">
        <f t="shared" si="1"/>
        <v>0</v>
      </c>
    </row>
    <row r="20" spans="1:8" s="10" customFormat="1" ht="18" thickBot="1" x14ac:dyDescent="0.3">
      <c r="A20" s="10" t="s">
        <v>48</v>
      </c>
    </row>
    <row r="21" spans="1:8" ht="15.75" thickTop="1" x14ac:dyDescent="0.25"/>
    <row r="22" spans="1:8" x14ac:dyDescent="0.25">
      <c r="A22" s="11" t="s">
        <v>4</v>
      </c>
      <c r="B22" s="11" t="s">
        <v>49</v>
      </c>
      <c r="C22" s="11" t="s">
        <v>50</v>
      </c>
      <c r="D22" s="11" t="s">
        <v>30</v>
      </c>
      <c r="G22" s="5" t="s">
        <v>57</v>
      </c>
      <c r="H22">
        <v>75</v>
      </c>
    </row>
    <row r="23" spans="1:8" x14ac:dyDescent="0.25">
      <c r="A23" s="12" t="s">
        <v>51</v>
      </c>
      <c r="B23" s="12">
        <v>93</v>
      </c>
      <c r="C23" s="12">
        <v>80</v>
      </c>
      <c r="D23" s="12" t="str">
        <f>IF(AND(B23&gt;=$H$22,C23&gt;=$H$23), "Pass", "Fail")</f>
        <v>Pass</v>
      </c>
      <c r="G23" s="5" t="s">
        <v>58</v>
      </c>
      <c r="H23">
        <v>65</v>
      </c>
    </row>
    <row r="24" spans="1:8" x14ac:dyDescent="0.25">
      <c r="A24" s="12" t="s">
        <v>52</v>
      </c>
      <c r="B24" s="12">
        <v>65</v>
      </c>
      <c r="C24" s="12">
        <v>91</v>
      </c>
      <c r="D24" s="12" t="str">
        <f t="shared" ref="D24:D27" si="2">IF(AND(B24&gt;=$H$22,C24&gt;=$H$23), "Pass", "Fail")</f>
        <v>Fail</v>
      </c>
    </row>
    <row r="25" spans="1:8" x14ac:dyDescent="0.25">
      <c r="A25" s="12" t="s">
        <v>53</v>
      </c>
      <c r="B25" s="12">
        <v>50</v>
      </c>
      <c r="C25" s="12">
        <v>72</v>
      </c>
      <c r="D25" s="12" t="str">
        <f t="shared" si="2"/>
        <v>Fail</v>
      </c>
    </row>
    <row r="26" spans="1:8" x14ac:dyDescent="0.25">
      <c r="A26" s="12" t="s">
        <v>54</v>
      </c>
      <c r="B26" s="12">
        <v>78</v>
      </c>
      <c r="C26" s="12">
        <v>93</v>
      </c>
      <c r="D26" s="12" t="str">
        <f t="shared" si="2"/>
        <v>Pass</v>
      </c>
    </row>
    <row r="27" spans="1:8" x14ac:dyDescent="0.25">
      <c r="A27" s="12" t="s">
        <v>55</v>
      </c>
      <c r="B27" s="12">
        <v>38</v>
      </c>
      <c r="C27" s="12">
        <v>30</v>
      </c>
      <c r="D27" s="12" t="str">
        <f t="shared" si="2"/>
        <v>Fail</v>
      </c>
    </row>
    <row r="29" spans="1:8" s="10" customFormat="1" ht="18" thickBot="1" x14ac:dyDescent="0.3">
      <c r="A29" s="10" t="s">
        <v>59</v>
      </c>
    </row>
    <row r="30" spans="1:8" ht="15.75" thickTop="1" x14ac:dyDescent="0.25"/>
    <row r="31" spans="1:8" x14ac:dyDescent="0.25">
      <c r="A31" s="11" t="s">
        <v>4</v>
      </c>
      <c r="B31" s="11" t="s">
        <v>49</v>
      </c>
      <c r="C31" s="11" t="s">
        <v>50</v>
      </c>
      <c r="D31" s="11" t="s">
        <v>30</v>
      </c>
      <c r="G31" s="5" t="s">
        <v>57</v>
      </c>
      <c r="H31">
        <v>75</v>
      </c>
    </row>
    <row r="32" spans="1:8" x14ac:dyDescent="0.25">
      <c r="A32" s="12" t="s">
        <v>51</v>
      </c>
      <c r="B32" s="12">
        <v>93</v>
      </c>
      <c r="C32" s="12">
        <v>80</v>
      </c>
      <c r="D32" s="12" t="str">
        <f>IF(OR(B32&gt;=$H$31,C32&gt;=$H$32), "Pass", "Fail")</f>
        <v>Pass</v>
      </c>
      <c r="G32" s="5" t="s">
        <v>58</v>
      </c>
      <c r="H32">
        <v>65</v>
      </c>
    </row>
    <row r="33" spans="1:4" x14ac:dyDescent="0.25">
      <c r="A33" s="12" t="s">
        <v>52</v>
      </c>
      <c r="B33" s="12">
        <v>65</v>
      </c>
      <c r="C33" s="12">
        <v>91</v>
      </c>
      <c r="D33" s="12" t="str">
        <f t="shared" ref="D33:D36" si="3">IF(OR(B33&gt;=$H$31,C33&gt;=$H$32), "Pass", "Fail")</f>
        <v>Pass</v>
      </c>
    </row>
    <row r="34" spans="1:4" x14ac:dyDescent="0.25">
      <c r="A34" s="12" t="s">
        <v>53</v>
      </c>
      <c r="B34" s="12">
        <v>50</v>
      </c>
      <c r="C34" s="12">
        <v>72</v>
      </c>
      <c r="D34" s="12" t="str">
        <f t="shared" si="3"/>
        <v>Pass</v>
      </c>
    </row>
    <row r="35" spans="1:4" x14ac:dyDescent="0.25">
      <c r="A35" s="12" t="s">
        <v>54</v>
      </c>
      <c r="B35" s="12">
        <v>78</v>
      </c>
      <c r="C35" s="12">
        <v>93</v>
      </c>
      <c r="D35" s="12" t="str">
        <f t="shared" si="3"/>
        <v>Pass</v>
      </c>
    </row>
    <row r="36" spans="1:4" x14ac:dyDescent="0.25">
      <c r="A36" s="12" t="s">
        <v>55</v>
      </c>
      <c r="B36" s="12">
        <v>38</v>
      </c>
      <c r="C36" s="12">
        <v>30</v>
      </c>
      <c r="D36" s="12" t="str">
        <f t="shared" si="3"/>
        <v>Fail</v>
      </c>
    </row>
  </sheetData>
  <mergeCells count="4">
    <mergeCell ref="A1:XFD1"/>
    <mergeCell ref="A11:XFD11"/>
    <mergeCell ref="A20:XFD20"/>
    <mergeCell ref="A29:XF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Logic</vt:lpstr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2026-08-19T15:58:54Z</dcterms:modified>
</cp:coreProperties>
</file>